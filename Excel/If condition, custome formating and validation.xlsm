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m\Downloads\"/>
    </mc:Choice>
  </mc:AlternateContent>
  <xr:revisionPtr revIDLastSave="0" documentId="13_ncr:1_{670F001C-6A75-4C27-94BE-15C37BEED7E3}" xr6:coauthVersionLast="47" xr6:coauthVersionMax="47" xr10:uidLastSave="{00000000-0000-0000-0000-000000000000}"/>
  <bookViews>
    <workbookView xWindow="-110" yWindow="-110" windowWidth="19420" windowHeight="10300" tabRatio="680" activeTab="11" xr2:uid="{0F5F38B0-FE57-4323-8877-F62294FB7E58}"/>
  </bookViews>
  <sheets>
    <sheet name="Sheet1" sheetId="1" r:id="rId1"/>
    <sheet name="Sheet2" sheetId="2" r:id="rId2"/>
    <sheet name="Sheet3" sheetId="3" r:id="rId3"/>
    <sheet name="Sheet6" sheetId="6" r:id="rId4"/>
    <sheet name="Sheet4" sheetId="4" r:id="rId5"/>
    <sheet name="Sheet5" sheetId="5" r:id="rId6"/>
    <sheet name="Sheet7" sheetId="7" r:id="rId7"/>
    <sheet name="Vlookup" sheetId="8" r:id="rId8"/>
    <sheet name="Sheet8" sheetId="9" r:id="rId9"/>
    <sheet name="Hlookup" sheetId="10" r:id="rId10"/>
    <sheet name="Sheet10" sheetId="11" r:id="rId11"/>
    <sheet name="Sheet11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2" i="12" l="1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31" i="12"/>
  <c r="D31" i="12" a="1"/>
  <c r="D31" i="12" s="1"/>
  <c r="J17" i="12" a="1"/>
  <c r="J17" i="12" s="1"/>
  <c r="J14" i="12" a="1"/>
  <c r="J14" i="12" s="1"/>
  <c r="C16" i="12" a="1"/>
  <c r="C16" i="12" s="1"/>
  <c r="A15" i="12" a="1"/>
  <c r="A15" i="12" s="1"/>
  <c r="H2" i="12" a="1"/>
  <c r="H2" i="12" s="1"/>
  <c r="B2" i="11" a="1"/>
  <c r="B2" i="11" s="1"/>
  <c r="F2" i="11" s="1"/>
  <c r="H10" i="9"/>
  <c r="G8" i="9"/>
  <c r="F8" i="9"/>
  <c r="E8" i="9"/>
  <c r="D8" i="9"/>
  <c r="H6" i="9"/>
  <c r="E10" i="10"/>
  <c r="E12" i="10"/>
  <c r="E11" i="10"/>
  <c r="E9" i="10"/>
  <c r="D9" i="10"/>
  <c r="G4" i="9"/>
  <c r="F4" i="9"/>
  <c r="E4" i="9"/>
  <c r="D4" i="9"/>
  <c r="L7" i="8"/>
  <c r="K7" i="8"/>
  <c r="J7" i="8"/>
  <c r="I7" i="8"/>
  <c r="I4" i="8"/>
  <c r="G52" i="7"/>
  <c r="F52" i="7"/>
  <c r="F51" i="7"/>
  <c r="G51" i="7" s="1"/>
  <c r="G50" i="7"/>
  <c r="F50" i="7"/>
  <c r="F49" i="7"/>
  <c r="G49" i="7" s="1"/>
  <c r="G48" i="7"/>
  <c r="F48" i="7"/>
  <c r="F47" i="7"/>
  <c r="G47" i="7" s="1"/>
  <c r="G46" i="7"/>
  <c r="F46" i="7"/>
  <c r="F45" i="7"/>
  <c r="G45" i="7" s="1"/>
  <c r="G44" i="7"/>
  <c r="F44" i="7"/>
  <c r="F43" i="7"/>
  <c r="G43" i="7" s="1"/>
  <c r="G42" i="7"/>
  <c r="F42" i="7"/>
  <c r="J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2" i="7"/>
  <c r="J3" i="4"/>
  <c r="J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2" i="4"/>
  <c r="L13" i="6"/>
  <c r="L12" i="6"/>
  <c r="H12" i="6"/>
  <c r="H13" i="6"/>
  <c r="H14" i="6"/>
  <c r="H15" i="6"/>
  <c r="H16" i="6"/>
  <c r="H17" i="6"/>
  <c r="H18" i="6"/>
  <c r="H19" i="6"/>
  <c r="H20" i="6"/>
  <c r="H11" i="6"/>
  <c r="G12" i="6"/>
  <c r="G13" i="6"/>
  <c r="G14" i="6"/>
  <c r="G15" i="6"/>
  <c r="G16" i="6"/>
  <c r="G17" i="6"/>
  <c r="G18" i="6"/>
  <c r="G19" i="6"/>
  <c r="G20" i="6"/>
  <c r="G11" i="6"/>
  <c r="L23" i="5"/>
  <c r="L22" i="5"/>
  <c r="H22" i="5"/>
  <c r="H23" i="5"/>
  <c r="H24" i="5"/>
  <c r="H25" i="5"/>
  <c r="H26" i="5"/>
  <c r="H27" i="5"/>
  <c r="H28" i="5"/>
  <c r="H29" i="5"/>
  <c r="H30" i="5"/>
  <c r="H21" i="5"/>
  <c r="G22" i="5"/>
  <c r="G23" i="5"/>
  <c r="G24" i="5"/>
  <c r="G25" i="5"/>
  <c r="G26" i="5"/>
  <c r="G27" i="5"/>
  <c r="G28" i="5"/>
  <c r="G29" i="5"/>
  <c r="G30" i="5"/>
  <c r="G21" i="5"/>
  <c r="J3" i="5"/>
  <c r="J2" i="5"/>
  <c r="G3" i="5"/>
  <c r="G4" i="5"/>
  <c r="G5" i="5"/>
  <c r="G6" i="5"/>
  <c r="G7" i="5"/>
  <c r="G8" i="5"/>
  <c r="G9" i="5"/>
  <c r="G10" i="5"/>
  <c r="G11" i="5"/>
  <c r="G2" i="5"/>
  <c r="F3" i="5"/>
  <c r="F4" i="5"/>
  <c r="F5" i="5"/>
  <c r="F6" i="5"/>
  <c r="F7" i="5"/>
  <c r="F8" i="5"/>
  <c r="F9" i="5"/>
  <c r="F10" i="5"/>
  <c r="F11" i="5"/>
  <c r="F2" i="5"/>
  <c r="K3" i="3"/>
  <c r="K2" i="3"/>
  <c r="G3" i="3"/>
  <c r="G4" i="3"/>
  <c r="G5" i="3"/>
  <c r="G6" i="3"/>
  <c r="G7" i="3"/>
  <c r="G8" i="3"/>
  <c r="G9" i="3"/>
  <c r="G10" i="3"/>
  <c r="G11" i="3"/>
  <c r="G2" i="3"/>
  <c r="F3" i="3"/>
  <c r="F4" i="3"/>
  <c r="F5" i="3"/>
  <c r="F6" i="3"/>
  <c r="F7" i="3"/>
  <c r="F8" i="3"/>
  <c r="F9" i="3"/>
  <c r="F10" i="3"/>
  <c r="F11" i="3"/>
  <c r="F2" i="3"/>
  <c r="H9" i="11" l="1"/>
  <c r="H4" i="11"/>
  <c r="H3" i="11"/>
  <c r="H10" i="11"/>
  <c r="H8" i="11"/>
  <c r="H7" i="11"/>
  <c r="H6" i="11"/>
  <c r="H5" i="11"/>
  <c r="G10" i="11"/>
  <c r="G4" i="11"/>
  <c r="H2" i="11"/>
  <c r="G9" i="11"/>
  <c r="G8" i="11"/>
  <c r="G7" i="11"/>
  <c r="G6" i="11"/>
  <c r="G5" i="11"/>
  <c r="G3" i="11"/>
  <c r="F4" i="11"/>
  <c r="G2" i="11"/>
  <c r="F10" i="11"/>
  <c r="F9" i="11"/>
  <c r="F8" i="11"/>
  <c r="F7" i="11"/>
  <c r="F6" i="11"/>
  <c r="F5" i="11"/>
  <c r="F3" i="11"/>
  <c r="J3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<sst xmlns="http://schemas.openxmlformats.org/spreadsheetml/2006/main" count="389" uniqueCount="57">
  <si>
    <t>budget</t>
  </si>
  <si>
    <t>name with digit</t>
  </si>
  <si>
    <t>product-1</t>
  </si>
  <si>
    <t>product-2</t>
  </si>
  <si>
    <t>product-3</t>
  </si>
  <si>
    <t>product-4</t>
  </si>
  <si>
    <t>product-5</t>
  </si>
  <si>
    <t>product-6</t>
  </si>
  <si>
    <t>product-7</t>
  </si>
  <si>
    <t>product-8</t>
  </si>
  <si>
    <t>product-9</t>
  </si>
  <si>
    <t>product-10</t>
  </si>
  <si>
    <t>Order ID</t>
  </si>
  <si>
    <t>Product</t>
  </si>
  <si>
    <t>Category</t>
  </si>
  <si>
    <t>Quantity</t>
  </si>
  <si>
    <t>Price per Unit</t>
  </si>
  <si>
    <t>Laptop</t>
  </si>
  <si>
    <t>Electronics</t>
  </si>
  <si>
    <t>Printer</t>
  </si>
  <si>
    <t>Desk</t>
  </si>
  <si>
    <t>Office Furniture</t>
  </si>
  <si>
    <t>Chair</t>
  </si>
  <si>
    <t>Smartphone</t>
  </si>
  <si>
    <t>Tablet</t>
  </si>
  <si>
    <t>Desk Lamp</t>
  </si>
  <si>
    <t>Home Decor</t>
  </si>
  <si>
    <t>File Cabinet</t>
  </si>
  <si>
    <t>Headphones</t>
  </si>
  <si>
    <t>Bookshelf</t>
  </si>
  <si>
    <t>gross sales</t>
  </si>
  <si>
    <t>profit</t>
  </si>
  <si>
    <t>Total sales</t>
  </si>
  <si>
    <t>total profit</t>
  </si>
  <si>
    <t>Gross sals</t>
  </si>
  <si>
    <t>Profit</t>
  </si>
  <si>
    <t>Total Profit</t>
  </si>
  <si>
    <t>Gross Sales</t>
  </si>
  <si>
    <t>Total Sales</t>
  </si>
  <si>
    <t xml:space="preserve">Total Profit </t>
  </si>
  <si>
    <t>sales</t>
  </si>
  <si>
    <t>Price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</si>
  <si>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</si>
  <si>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</si>
  <si>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</si>
  <si>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</si>
  <si>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</si>
  <si>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</si>
  <si>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</si>
  <si>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</si>
  <si>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</si>
  <si>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</si>
  <si>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math</t>
  </si>
  <si>
    <t>science</t>
  </si>
  <si>
    <t>English</t>
  </si>
  <si>
    <t>History</t>
  </si>
  <si>
    <t>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</si>
</sst>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.00,,&quot;mil&quot;"/>
    <numFmt numFmtId="165" formatCode="#.00,,,\ &quot;bil&quot;"/>
    <numFmt numFmtId="166" formatCode="#.00,\ &quot;K&quot;"/>
    <numFmt numFmtId="167" formatCode="#.00,,,,\ &quot;Tril&quot;"/>
  </numFmts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2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B080C-A0CC-44AE-B5A4-19BBBA66FC9F}">
  <sheetPr codeName="Sheet1"/>
  <dimension ref="B2:G11"/>
  <sheetViews>
    <sheetView zoomScale="110" zoomScaleNormal="110" workbookViewId="0">
      <selection activeCell="H6" sqref="H6"/>
    </sheetView>
  </sheetViews>
  <sheetFormatPr defaultRowHeight="16" x14ac:dyDescent="0.4"/>
  <cols>
    <col min="2" max="2" width="12.75" customWidth="1"/>
    <col min="3" max="3" width="13.08203125" customWidth="1"/>
    <col min="4" max="4" width="8.5" customWidth="1"/>
    <col min="5" max="5" width="24.9140625" customWidth="1"/>
    <col min="7" max="7" width="12.9140625" bestFit="1" customWidth="1"/>
  </cols>
  <sheetData>
    <row r="2" spans="2:7" x14ac:dyDescent="0.4">
      <c r="B2" s="1" t="s">
        <v>0</v>
      </c>
      <c r="G2" t="s">
        <v>1</v>
      </c>
    </row>
    <row r="3" spans="2:7" x14ac:dyDescent="0.4">
      <c r="B3" s="2">
        <v>1000000</v>
      </c>
      <c r="C3" s="3">
        <v>1000000000</v>
      </c>
      <c r="D3" s="4">
        <v>1000</v>
      </c>
      <c r="E3" s="5">
        <v>1000000000000</v>
      </c>
    </row>
    <row r="4" spans="2:7" x14ac:dyDescent="0.4">
      <c r="B4" s="2">
        <v>2000000</v>
      </c>
      <c r="C4" s="3">
        <v>2000000000</v>
      </c>
      <c r="D4" s="4">
        <v>2000</v>
      </c>
    </row>
    <row r="5" spans="2:7" x14ac:dyDescent="0.4">
      <c r="B5" s="2">
        <v>3000000</v>
      </c>
      <c r="C5" s="3">
        <v>3000000000</v>
      </c>
      <c r="D5" s="4">
        <v>3000</v>
      </c>
    </row>
    <row r="6" spans="2:7" x14ac:dyDescent="0.4">
      <c r="B6" s="2">
        <v>4000000</v>
      </c>
      <c r="C6" s="3">
        <v>4000000000</v>
      </c>
      <c r="D6" s="4">
        <v>4000</v>
      </c>
    </row>
    <row r="7" spans="2:7" x14ac:dyDescent="0.4">
      <c r="B7" s="2">
        <v>5000000</v>
      </c>
      <c r="C7" s="3">
        <v>5000000000</v>
      </c>
      <c r="D7" s="4">
        <v>5000</v>
      </c>
    </row>
    <row r="8" spans="2:7" x14ac:dyDescent="0.4">
      <c r="B8" s="2">
        <v>6000000</v>
      </c>
      <c r="C8" s="3">
        <v>6000000000</v>
      </c>
      <c r="D8" s="4">
        <v>6000</v>
      </c>
    </row>
    <row r="9" spans="2:7" x14ac:dyDescent="0.4">
      <c r="B9" s="2">
        <v>7000000</v>
      </c>
      <c r="C9" s="3">
        <v>7000000000</v>
      </c>
      <c r="D9" s="4">
        <v>7000</v>
      </c>
    </row>
    <row r="10" spans="2:7" x14ac:dyDescent="0.4">
      <c r="B10" s="2">
        <v>8000000</v>
      </c>
      <c r="C10" s="3">
        <v>8000000000</v>
      </c>
      <c r="D10" s="4">
        <v>58000</v>
      </c>
    </row>
    <row r="11" spans="2:7" x14ac:dyDescent="0.4">
      <c r="B11" s="2">
        <v>76545325</v>
      </c>
      <c r="C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DF739-1FA1-49FC-B9E1-3CE92C560C7F}">
  <sheetPr codeName="Sheet2"/>
  <dimension ref="A1:A10"/>
  <sheetViews>
    <sheetView workbookViewId="0">
      <selection sqref="A1:A11"/>
    </sheetView>
  </sheetViews>
  <sheetFormatPr defaultRowHeight="16" x14ac:dyDescent="0.4"/>
  <sheetData>
    <row r="1" spans="1:1" x14ac:dyDescent="0.4">
      <c r="A1" t="s">
        <v>2</v>
      </c>
    </row>
    <row r="2" spans="1:1" x14ac:dyDescent="0.4">
      <c r="A2" t="s">
        <v>3</v>
      </c>
    </row>
    <row r="3" spans="1:1" x14ac:dyDescent="0.4">
      <c r="A3" t="s">
        <v>4</v>
      </c>
    </row>
    <row r="4" spans="1:1" x14ac:dyDescent="0.4">
      <c r="A4" t="s">
        <v>5</v>
      </c>
    </row>
    <row r="5" spans="1:1" x14ac:dyDescent="0.4">
      <c r="A5" t="s">
        <v>6</v>
      </c>
    </row>
    <row r="6" spans="1:1" x14ac:dyDescent="0.4">
      <c r="A6" t="s">
        <v>7</v>
      </c>
    </row>
    <row r="7" spans="1:1" x14ac:dyDescent="0.4">
      <c r="A7" t="s">
        <v>8</v>
      </c>
    </row>
    <row r="8" spans="1:1" x14ac:dyDescent="0.4">
      <c r="A8" t="s">
        <v>9</v>
      </c>
    </row>
    <row r="9" spans="1:1" x14ac:dyDescent="0.4">
      <c r="A9" t="s">
        <v>10</v>
      </c>
    </row>
    <row r="10" spans="1:1" x14ac:dyDescent="0.4">
      <c r="A10" t="s">
        <v>11</v>
      </c>
    </row>
  </sheetData>
  <phoneticPr fontId="2" type="noConversion"/>
  <dataValidations count="1">
    <dataValidation type="custom" allowBlank="1" showInputMessage="1" showErrorMessage="1" sqref="A1:A10" xr:uid="{278FFFD6-4D6C-4ABA-83F2-CDEBBFC97721}">
      <formula1>SUMPRODUCT(--ISNUMBER(FIND(ROW($1:$10)-1,A1&amp;"")))&gt;0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35A97-2395-4618-BCF7-047897CD9249}">
  <sheetPr codeName="Sheet3"/>
  <dimension ref="A1:K11"/>
  <sheetViews>
    <sheetView workbookViewId="0">
      <selection sqref="A1:E11"/>
    </sheetView>
  </sheetViews>
  <sheetFormatPr defaultRowHeight="16" x14ac:dyDescent="0.4"/>
  <cols>
    <col min="1" max="1" width="7.33203125" bestFit="1" customWidth="1"/>
    <col min="2" max="2" width="11" bestFit="1" customWidth="1"/>
    <col min="3" max="3" width="13.25" bestFit="1" customWidth="1"/>
    <col min="4" max="4" width="7.5" bestFit="1" customWidth="1"/>
    <col min="5" max="5" width="11.9140625" bestFit="1" customWidth="1"/>
    <col min="6" max="6" width="9.9140625" bestFit="1" customWidth="1"/>
    <col min="10" max="10" width="9.33203125" bestFit="1" customWidth="1"/>
  </cols>
  <sheetData>
    <row r="1" spans="1:11" x14ac:dyDescent="0.4">
      <c r="A1" s="6" t="s">
        <v>12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30</v>
      </c>
      <c r="G1" s="6" t="s">
        <v>31</v>
      </c>
    </row>
    <row r="2" spans="1:11" x14ac:dyDescent="0.4">
      <c r="A2">
        <v>1001</v>
      </c>
      <c r="B2" t="s">
        <v>17</v>
      </c>
      <c r="C2" t="s">
        <v>18</v>
      </c>
      <c r="D2">
        <v>2</v>
      </c>
      <c r="E2">
        <v>800</v>
      </c>
      <c r="F2">
        <f>E2*D2</f>
        <v>1600</v>
      </c>
      <c r="G2">
        <f>F2-(F2*0.3)</f>
        <v>1120</v>
      </c>
      <c r="J2" t="s">
        <v>32</v>
      </c>
      <c r="K2">
        <f>SUM(F2:F11)</f>
        <v>4650</v>
      </c>
    </row>
    <row r="3" spans="1:11" x14ac:dyDescent="0.4">
      <c r="A3">
        <v>1002</v>
      </c>
      <c r="B3" t="s">
        <v>19</v>
      </c>
      <c r="C3" t="s">
        <v>18</v>
      </c>
      <c r="D3">
        <v>1</v>
      </c>
      <c r="E3">
        <v>300</v>
      </c>
      <c r="F3">
        <f t="shared" ref="F3:F11" si="0">E3*D3</f>
        <v>300</v>
      </c>
      <c r="G3">
        <f t="shared" ref="G3:G11" si="1">F3-(F3*0.3)</f>
        <v>210</v>
      </c>
      <c r="J3" t="s">
        <v>33</v>
      </c>
      <c r="K3">
        <f>SUM(G2:G11)</f>
        <v>3255</v>
      </c>
    </row>
    <row r="4" spans="1:11" x14ac:dyDescent="0.4">
      <c r="A4">
        <v>1003</v>
      </c>
      <c r="B4" t="s">
        <v>20</v>
      </c>
      <c r="C4" t="s">
        <v>21</v>
      </c>
      <c r="D4">
        <v>1</v>
      </c>
      <c r="E4">
        <v>200</v>
      </c>
      <c r="F4">
        <f t="shared" si="0"/>
        <v>200</v>
      </c>
      <c r="G4">
        <f t="shared" si="1"/>
        <v>140</v>
      </c>
    </row>
    <row r="5" spans="1:11" x14ac:dyDescent="0.4">
      <c r="A5">
        <v>1004</v>
      </c>
      <c r="B5" t="s">
        <v>22</v>
      </c>
      <c r="C5" t="s">
        <v>21</v>
      </c>
      <c r="D5">
        <v>4</v>
      </c>
      <c r="E5">
        <v>50</v>
      </c>
      <c r="F5">
        <f t="shared" si="0"/>
        <v>200</v>
      </c>
      <c r="G5">
        <f t="shared" si="1"/>
        <v>140</v>
      </c>
    </row>
    <row r="6" spans="1:11" x14ac:dyDescent="0.4">
      <c r="A6">
        <v>1005</v>
      </c>
      <c r="B6" t="s">
        <v>23</v>
      </c>
      <c r="C6" t="s">
        <v>18</v>
      </c>
      <c r="D6">
        <v>3</v>
      </c>
      <c r="E6">
        <v>400</v>
      </c>
      <c r="F6">
        <f t="shared" si="0"/>
        <v>1200</v>
      </c>
      <c r="G6">
        <f t="shared" si="1"/>
        <v>840</v>
      </c>
    </row>
    <row r="7" spans="1:11" x14ac:dyDescent="0.4">
      <c r="A7">
        <v>1006</v>
      </c>
      <c r="B7" t="s">
        <v>24</v>
      </c>
      <c r="C7" t="s">
        <v>18</v>
      </c>
      <c r="D7">
        <v>2</v>
      </c>
      <c r="E7">
        <v>250</v>
      </c>
      <c r="F7">
        <f t="shared" si="0"/>
        <v>500</v>
      </c>
      <c r="G7">
        <f t="shared" si="1"/>
        <v>350</v>
      </c>
    </row>
    <row r="8" spans="1:11" x14ac:dyDescent="0.4">
      <c r="A8">
        <v>1007</v>
      </c>
      <c r="B8" t="s">
        <v>25</v>
      </c>
      <c r="C8" t="s">
        <v>26</v>
      </c>
      <c r="D8">
        <v>1</v>
      </c>
      <c r="E8">
        <v>30</v>
      </c>
      <c r="F8">
        <f t="shared" si="0"/>
        <v>30</v>
      </c>
      <c r="G8">
        <f t="shared" si="1"/>
        <v>21</v>
      </c>
    </row>
    <row r="9" spans="1:11" x14ac:dyDescent="0.4">
      <c r="A9">
        <v>1008</v>
      </c>
      <c r="B9" t="s">
        <v>27</v>
      </c>
      <c r="C9" t="s">
        <v>21</v>
      </c>
      <c r="D9">
        <v>2</v>
      </c>
      <c r="E9">
        <v>150</v>
      </c>
      <c r="F9">
        <f t="shared" si="0"/>
        <v>300</v>
      </c>
      <c r="G9">
        <f t="shared" si="1"/>
        <v>210</v>
      </c>
    </row>
    <row r="10" spans="1:11" x14ac:dyDescent="0.4">
      <c r="A10">
        <v>1009</v>
      </c>
      <c r="B10" t="s">
        <v>28</v>
      </c>
      <c r="C10" t="s">
        <v>18</v>
      </c>
      <c r="D10">
        <v>2</v>
      </c>
      <c r="E10">
        <v>100</v>
      </c>
      <c r="F10">
        <f t="shared" si="0"/>
        <v>200</v>
      </c>
      <c r="G10">
        <f t="shared" si="1"/>
        <v>140</v>
      </c>
    </row>
    <row r="11" spans="1:11" x14ac:dyDescent="0.4">
      <c r="A11">
        <v>1010</v>
      </c>
      <c r="B11" t="s">
        <v>29</v>
      </c>
      <c r="C11" t="s">
        <v>21</v>
      </c>
      <c r="D11">
        <v>1</v>
      </c>
      <c r="E11">
        <v>120</v>
      </c>
      <c r="F11">
        <f t="shared" si="0"/>
        <v>120</v>
      </c>
      <c r="G11">
        <f t="shared" si="1"/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A7312-8C31-48A2-ABE1-A23E436ECE2B}">
  <sheetPr codeName="Sheet4"/>
  <dimension ref="B10:L30"/>
  <sheetViews>
    <sheetView topLeftCell="A9" workbookViewId="0">
      <selection activeCell="I19" sqref="I19"/>
    </sheetView>
  </sheetViews>
  <sheetFormatPr defaultRowHeight="16" x14ac:dyDescent="0.4"/>
  <sheetData>
    <row r="10" spans="2:12" x14ac:dyDescent="0.4">
      <c r="B10" s="6" t="s">
        <v>12</v>
      </c>
      <c r="C10" s="6" t="s">
        <v>13</v>
      </c>
      <c r="D10" s="6" t="s">
        <v>14</v>
      </c>
      <c r="E10" s="6" t="s">
        <v>15</v>
      </c>
      <c r="F10" s="6" t="s">
        <v>16</v>
      </c>
      <c r="G10" t="s">
        <v>37</v>
      </c>
      <c r="H10" t="s">
        <v>35</v>
      </c>
    </row>
    <row r="11" spans="2:12" x14ac:dyDescent="0.4">
      <c r="B11">
        <v>1001</v>
      </c>
      <c r="C11" t="s">
        <v>17</v>
      </c>
      <c r="D11" t="s">
        <v>18</v>
      </c>
      <c r="E11">
        <v>2</v>
      </c>
      <c r="F11">
        <v>800</v>
      </c>
      <c r="G11">
        <f>F11*E11</f>
        <v>1600</v>
      </c>
      <c r="H11">
        <f>G11-(G11*0.3)</f>
        <v>1120</v>
      </c>
    </row>
    <row r="12" spans="2:12" x14ac:dyDescent="0.4">
      <c r="B12">
        <v>1002</v>
      </c>
      <c r="C12" t="s">
        <v>19</v>
      </c>
      <c r="D12" t="s">
        <v>18</v>
      </c>
      <c r="E12">
        <v>1</v>
      </c>
      <c r="F12">
        <v>300</v>
      </c>
      <c r="G12">
        <f t="shared" ref="G12:G20" si="0">F12*E12</f>
        <v>300</v>
      </c>
      <c r="H12">
        <f t="shared" ref="H12:H20" si="1">G12-(G12*0.3)</f>
        <v>210</v>
      </c>
      <c r="K12" t="s">
        <v>38</v>
      </c>
      <c r="L12" s="1">
        <f>SUM(G11:G20)</f>
        <v>4650</v>
      </c>
    </row>
    <row r="13" spans="2:12" x14ac:dyDescent="0.4">
      <c r="B13">
        <v>1003</v>
      </c>
      <c r="C13" t="s">
        <v>20</v>
      </c>
      <c r="D13" t="s">
        <v>21</v>
      </c>
      <c r="E13">
        <v>1</v>
      </c>
      <c r="F13">
        <v>200</v>
      </c>
      <c r="G13">
        <f t="shared" si="0"/>
        <v>200</v>
      </c>
      <c r="H13">
        <f t="shared" si="1"/>
        <v>140</v>
      </c>
      <c r="K13" t="s">
        <v>39</v>
      </c>
      <c r="L13" s="1">
        <f>SUM(H11:H20)</f>
        <v>3255</v>
      </c>
    </row>
    <row r="14" spans="2:12" x14ac:dyDescent="0.4">
      <c r="B14">
        <v>1004</v>
      </c>
      <c r="C14" t="s">
        <v>22</v>
      </c>
      <c r="D14" t="s">
        <v>21</v>
      </c>
      <c r="E14">
        <v>4</v>
      </c>
      <c r="F14">
        <v>50</v>
      </c>
      <c r="G14">
        <f t="shared" si="0"/>
        <v>200</v>
      </c>
      <c r="H14">
        <f t="shared" si="1"/>
        <v>140</v>
      </c>
    </row>
    <row r="15" spans="2:12" x14ac:dyDescent="0.4">
      <c r="B15">
        <v>1005</v>
      </c>
      <c r="C15" t="s">
        <v>23</v>
      </c>
      <c r="D15" t="s">
        <v>18</v>
      </c>
      <c r="E15">
        <v>3</v>
      </c>
      <c r="F15">
        <v>400</v>
      </c>
      <c r="G15">
        <f t="shared" si="0"/>
        <v>1200</v>
      </c>
      <c r="H15">
        <f t="shared" si="1"/>
        <v>840</v>
      </c>
    </row>
    <row r="16" spans="2:12" x14ac:dyDescent="0.4">
      <c r="B16">
        <v>1006</v>
      </c>
      <c r="C16" t="s">
        <v>24</v>
      </c>
      <c r="D16" t="s">
        <v>18</v>
      </c>
      <c r="E16">
        <v>2</v>
      </c>
      <c r="F16">
        <v>250</v>
      </c>
      <c r="G16">
        <f t="shared" si="0"/>
        <v>500</v>
      </c>
      <c r="H16">
        <f t="shared" si="1"/>
        <v>350</v>
      </c>
    </row>
    <row r="17" spans="2:8" x14ac:dyDescent="0.4">
      <c r="B17">
        <v>1007</v>
      </c>
      <c r="C17" t="s">
        <v>25</v>
      </c>
      <c r="D17" t="s">
        <v>26</v>
      </c>
      <c r="E17">
        <v>1</v>
      </c>
      <c r="F17">
        <v>30</v>
      </c>
      <c r="G17">
        <f t="shared" si="0"/>
        <v>30</v>
      </c>
      <c r="H17">
        <f t="shared" si="1"/>
        <v>21</v>
      </c>
    </row>
    <row r="18" spans="2:8" x14ac:dyDescent="0.4">
      <c r="B18">
        <v>1008</v>
      </c>
      <c r="C18" t="s">
        <v>27</v>
      </c>
      <c r="D18" t="s">
        <v>21</v>
      </c>
      <c r="E18">
        <v>2</v>
      </c>
      <c r="F18">
        <v>150</v>
      </c>
      <c r="G18">
        <f t="shared" si="0"/>
        <v>300</v>
      </c>
      <c r="H18">
        <f t="shared" si="1"/>
        <v>210</v>
      </c>
    </row>
    <row r="19" spans="2:8" x14ac:dyDescent="0.4">
      <c r="B19">
        <v>1009</v>
      </c>
      <c r="C19" t="s">
        <v>28</v>
      </c>
      <c r="D19" t="s">
        <v>18</v>
      </c>
      <c r="E19">
        <v>2</v>
      </c>
      <c r="F19">
        <v>100</v>
      </c>
      <c r="G19">
        <f t="shared" si="0"/>
        <v>200</v>
      </c>
      <c r="H19">
        <f t="shared" si="1"/>
        <v>140</v>
      </c>
    </row>
    <row r="20" spans="2:8" x14ac:dyDescent="0.4">
      <c r="B20">
        <v>1010</v>
      </c>
      <c r="C20" t="s">
        <v>29</v>
      </c>
      <c r="D20" t="s">
        <v>21</v>
      </c>
      <c r="E20">
        <v>1</v>
      </c>
      <c r="F20">
        <v>120</v>
      </c>
      <c r="G20">
        <f t="shared" si="0"/>
        <v>120</v>
      </c>
      <c r="H20">
        <f t="shared" si="1"/>
        <v>84</v>
      </c>
    </row>
    <row r="21" spans="2:8" x14ac:dyDescent="0.4">
      <c r="B21">
        <v>1001</v>
      </c>
      <c r="C21" t="s">
        <v>17</v>
      </c>
      <c r="D21" t="s">
        <v>18</v>
      </c>
      <c r="E21">
        <v>2</v>
      </c>
      <c r="F21">
        <v>800</v>
      </c>
    </row>
    <row r="22" spans="2:8" x14ac:dyDescent="0.4">
      <c r="B22">
        <v>1002</v>
      </c>
      <c r="C22" t="s">
        <v>19</v>
      </c>
      <c r="D22" t="s">
        <v>18</v>
      </c>
      <c r="E22">
        <v>1</v>
      </c>
      <c r="F22">
        <v>300</v>
      </c>
    </row>
    <row r="23" spans="2:8" x14ac:dyDescent="0.4">
      <c r="B23">
        <v>1003</v>
      </c>
      <c r="C23" t="s">
        <v>20</v>
      </c>
      <c r="D23" t="s">
        <v>21</v>
      </c>
      <c r="E23">
        <v>1</v>
      </c>
      <c r="F23">
        <v>200</v>
      </c>
    </row>
    <row r="24" spans="2:8" x14ac:dyDescent="0.4">
      <c r="B24">
        <v>1004</v>
      </c>
      <c r="C24" t="s">
        <v>22</v>
      </c>
      <c r="D24" t="s">
        <v>21</v>
      </c>
      <c r="E24">
        <v>4</v>
      </c>
      <c r="F24">
        <v>50</v>
      </c>
    </row>
    <row r="25" spans="2:8" x14ac:dyDescent="0.4">
      <c r="B25">
        <v>1005</v>
      </c>
      <c r="C25" t="s">
        <v>23</v>
      </c>
      <c r="D25" t="s">
        <v>18</v>
      </c>
      <c r="E25">
        <v>3</v>
      </c>
      <c r="F25">
        <v>400</v>
      </c>
    </row>
    <row r="26" spans="2:8" x14ac:dyDescent="0.4">
      <c r="B26">
        <v>1006</v>
      </c>
      <c r="C26" t="s">
        <v>24</v>
      </c>
      <c r="D26" t="s">
        <v>18</v>
      </c>
      <c r="E26">
        <v>2</v>
      </c>
      <c r="F26">
        <v>250</v>
      </c>
    </row>
    <row r="27" spans="2:8" x14ac:dyDescent="0.4">
      <c r="B27">
        <v>1007</v>
      </c>
      <c r="C27" t="s">
        <v>25</v>
      </c>
      <c r="D27" t="s">
        <v>26</v>
      </c>
      <c r="E27">
        <v>1</v>
      </c>
      <c r="F27">
        <v>30</v>
      </c>
    </row>
    <row r="28" spans="2:8" x14ac:dyDescent="0.4">
      <c r="B28">
        <v>1008</v>
      </c>
      <c r="C28" t="s">
        <v>27</v>
      </c>
      <c r="D28" t="s">
        <v>21</v>
      </c>
      <c r="E28">
        <v>2</v>
      </c>
      <c r="F28">
        <v>150</v>
      </c>
    </row>
    <row r="29" spans="2:8" x14ac:dyDescent="0.4">
      <c r="B29">
        <v>1009</v>
      </c>
      <c r="C29" t="s">
        <v>28</v>
      </c>
      <c r="D29" t="s">
        <v>18</v>
      </c>
      <c r="E29">
        <v>2</v>
      </c>
      <c r="F29">
        <v>100</v>
      </c>
    </row>
    <row r="30" spans="2:8" x14ac:dyDescent="0.4">
      <c r="B30">
        <v>1010</v>
      </c>
      <c r="C30" t="s">
        <v>29</v>
      </c>
      <c r="D30" t="s">
        <v>21</v>
      </c>
      <c r="E30">
        <v>1</v>
      </c>
      <c r="F30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E540F-7490-49F3-B7C8-DB2C14A1EDFF}">
  <sheetPr codeName="Sheet5"/>
  <dimension ref="A1:J1210"/>
  <sheetViews>
    <sheetView workbookViewId="0">
      <selection activeCell="I4" sqref="I4"/>
    </sheetView>
  </sheetViews>
  <sheetFormatPr defaultRowHeight="16" x14ac:dyDescent="0.4"/>
  <cols>
    <col min="1" max="1" width="7.6640625" bestFit="1" customWidth="1"/>
    <col min="2" max="2" width="11" bestFit="1" customWidth="1"/>
    <col min="3" max="3" width="13.25" bestFit="1" customWidth="1"/>
    <col min="4" max="4" width="8" bestFit="1" customWidth="1"/>
    <col min="5" max="5" width="11.9140625" bestFit="1" customWidth="1"/>
  </cols>
  <sheetData>
    <row r="1" spans="1:10" x14ac:dyDescent="0.4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37</v>
      </c>
      <c r="G1" s="1" t="s">
        <v>35</v>
      </c>
    </row>
    <row r="2" spans="1:10" x14ac:dyDescent="0.4">
      <c r="A2">
        <v>1001</v>
      </c>
      <c r="B2" t="s">
        <v>17</v>
      </c>
      <c r="C2" t="s">
        <v>18</v>
      </c>
      <c r="D2">
        <v>2</v>
      </c>
      <c r="E2">
        <v>800</v>
      </c>
      <c r="F2">
        <f>E2*D2</f>
        <v>1600</v>
      </c>
      <c r="G2">
        <f>F2-(F2*0.3)</f>
        <v>1120</v>
      </c>
      <c r="I2" t="s">
        <v>40</v>
      </c>
      <c r="J2">
        <f>SUM(F2:F1210)</f>
        <v>4650</v>
      </c>
    </row>
    <row r="3" spans="1:10" x14ac:dyDescent="0.4">
      <c r="A3">
        <v>1002</v>
      </c>
      <c r="B3" t="s">
        <v>19</v>
      </c>
      <c r="C3" t="s">
        <v>18</v>
      </c>
      <c r="D3">
        <v>1</v>
      </c>
      <c r="E3">
        <v>300</v>
      </c>
      <c r="F3">
        <f t="shared" ref="F3:F66" si="0">E3*D3</f>
        <v>300</v>
      </c>
      <c r="G3">
        <f t="shared" ref="G3:G66" si="1">F3-(F3*0.3)</f>
        <v>210</v>
      </c>
      <c r="I3" t="s">
        <v>31</v>
      </c>
      <c r="J3">
        <f>SUM(G2:G1210)</f>
        <v>3255</v>
      </c>
    </row>
    <row r="4" spans="1:10" x14ac:dyDescent="0.4">
      <c r="A4">
        <v>1003</v>
      </c>
      <c r="B4" t="s">
        <v>20</v>
      </c>
      <c r="C4" t="s">
        <v>21</v>
      </c>
      <c r="D4">
        <v>1</v>
      </c>
      <c r="E4">
        <v>200</v>
      </c>
      <c r="F4">
        <f t="shared" si="0"/>
        <v>200</v>
      </c>
      <c r="G4">
        <f t="shared" si="1"/>
        <v>140</v>
      </c>
    </row>
    <row r="5" spans="1:10" x14ac:dyDescent="0.4">
      <c r="A5">
        <v>1004</v>
      </c>
      <c r="B5" t="s">
        <v>22</v>
      </c>
      <c r="C5" t="s">
        <v>21</v>
      </c>
      <c r="D5">
        <v>4</v>
      </c>
      <c r="E5">
        <v>50</v>
      </c>
      <c r="F5">
        <f t="shared" si="0"/>
        <v>200</v>
      </c>
      <c r="G5">
        <f t="shared" si="1"/>
        <v>140</v>
      </c>
    </row>
    <row r="6" spans="1:10" x14ac:dyDescent="0.4">
      <c r="A6">
        <v>1005</v>
      </c>
      <c r="B6" t="s">
        <v>23</v>
      </c>
      <c r="C6" t="s">
        <v>18</v>
      </c>
      <c r="D6">
        <v>3</v>
      </c>
      <c r="E6">
        <v>400</v>
      </c>
      <c r="F6">
        <f t="shared" si="0"/>
        <v>1200</v>
      </c>
      <c r="G6">
        <f t="shared" si="1"/>
        <v>840</v>
      </c>
    </row>
    <row r="7" spans="1:10" x14ac:dyDescent="0.4">
      <c r="A7">
        <v>1006</v>
      </c>
      <c r="B7" t="s">
        <v>24</v>
      </c>
      <c r="C7" t="s">
        <v>18</v>
      </c>
      <c r="D7">
        <v>2</v>
      </c>
      <c r="E7">
        <v>250</v>
      </c>
      <c r="F7">
        <f t="shared" si="0"/>
        <v>500</v>
      </c>
      <c r="G7">
        <f t="shared" si="1"/>
        <v>350</v>
      </c>
    </row>
    <row r="8" spans="1:10" x14ac:dyDescent="0.4">
      <c r="A8">
        <v>1007</v>
      </c>
      <c r="B8" t="s">
        <v>25</v>
      </c>
      <c r="C8" t="s">
        <v>26</v>
      </c>
      <c r="D8">
        <v>1</v>
      </c>
      <c r="E8">
        <v>30</v>
      </c>
      <c r="F8">
        <f t="shared" si="0"/>
        <v>30</v>
      </c>
      <c r="G8">
        <f t="shared" si="1"/>
        <v>21</v>
      </c>
    </row>
    <row r="9" spans="1:10" x14ac:dyDescent="0.4">
      <c r="A9">
        <v>1008</v>
      </c>
      <c r="B9" t="s">
        <v>27</v>
      </c>
      <c r="C9" t="s">
        <v>21</v>
      </c>
      <c r="D9">
        <v>2</v>
      </c>
      <c r="E9">
        <v>150</v>
      </c>
      <c r="F9">
        <f t="shared" si="0"/>
        <v>300</v>
      </c>
      <c r="G9">
        <f t="shared" si="1"/>
        <v>210</v>
      </c>
    </row>
    <row r="10" spans="1:10" x14ac:dyDescent="0.4">
      <c r="A10">
        <v>1009</v>
      </c>
      <c r="B10" t="s">
        <v>28</v>
      </c>
      <c r="C10" t="s">
        <v>18</v>
      </c>
      <c r="D10">
        <v>2</v>
      </c>
      <c r="E10">
        <v>100</v>
      </c>
      <c r="F10">
        <f t="shared" si="0"/>
        <v>200</v>
      </c>
      <c r="G10">
        <f t="shared" si="1"/>
        <v>140</v>
      </c>
    </row>
    <row r="11" spans="1:10" x14ac:dyDescent="0.4">
      <c r="A11">
        <v>1010</v>
      </c>
      <c r="B11" t="s">
        <v>29</v>
      </c>
      <c r="C11" t="s">
        <v>21</v>
      </c>
      <c r="D11">
        <v>1</v>
      </c>
      <c r="E11">
        <v>120</v>
      </c>
      <c r="F11">
        <f t="shared" si="0"/>
        <v>120</v>
      </c>
      <c r="G11">
        <f t="shared" si="1"/>
        <v>84</v>
      </c>
    </row>
    <row r="12" spans="1:10" x14ac:dyDescent="0.4">
      <c r="F12">
        <f t="shared" si="0"/>
        <v>0</v>
      </c>
      <c r="G12">
        <f t="shared" si="1"/>
        <v>0</v>
      </c>
    </row>
    <row r="13" spans="1:10" x14ac:dyDescent="0.4">
      <c r="F13">
        <f t="shared" si="0"/>
        <v>0</v>
      </c>
      <c r="G13">
        <f t="shared" si="1"/>
        <v>0</v>
      </c>
    </row>
    <row r="14" spans="1:10" x14ac:dyDescent="0.4">
      <c r="F14">
        <f t="shared" si="0"/>
        <v>0</v>
      </c>
      <c r="G14">
        <f t="shared" si="1"/>
        <v>0</v>
      </c>
    </row>
    <row r="15" spans="1:10" x14ac:dyDescent="0.4">
      <c r="F15">
        <f t="shared" si="0"/>
        <v>0</v>
      </c>
      <c r="G15">
        <f t="shared" si="1"/>
        <v>0</v>
      </c>
    </row>
    <row r="16" spans="1:10" x14ac:dyDescent="0.4">
      <c r="F16">
        <f t="shared" si="0"/>
        <v>0</v>
      </c>
      <c r="G16">
        <f t="shared" si="1"/>
        <v>0</v>
      </c>
    </row>
    <row r="17" spans="6:7" x14ac:dyDescent="0.4">
      <c r="F17">
        <f t="shared" si="0"/>
        <v>0</v>
      </c>
      <c r="G17">
        <f t="shared" si="1"/>
        <v>0</v>
      </c>
    </row>
    <row r="18" spans="6:7" x14ac:dyDescent="0.4">
      <c r="F18">
        <f t="shared" si="0"/>
        <v>0</v>
      </c>
      <c r="G18">
        <f t="shared" si="1"/>
        <v>0</v>
      </c>
    </row>
    <row r="19" spans="6:7" x14ac:dyDescent="0.4">
      <c r="F19">
        <f t="shared" si="0"/>
        <v>0</v>
      </c>
      <c r="G19">
        <f t="shared" si="1"/>
        <v>0</v>
      </c>
    </row>
    <row r="20" spans="6:7" x14ac:dyDescent="0.4">
      <c r="F20">
        <f t="shared" si="0"/>
        <v>0</v>
      </c>
      <c r="G20">
        <f t="shared" si="1"/>
        <v>0</v>
      </c>
    </row>
    <row r="21" spans="6:7" x14ac:dyDescent="0.4">
      <c r="F21">
        <f t="shared" si="0"/>
        <v>0</v>
      </c>
      <c r="G21">
        <f t="shared" si="1"/>
        <v>0</v>
      </c>
    </row>
    <row r="22" spans="6:7" x14ac:dyDescent="0.4">
      <c r="F22">
        <f t="shared" si="0"/>
        <v>0</v>
      </c>
      <c r="G22">
        <f t="shared" si="1"/>
        <v>0</v>
      </c>
    </row>
    <row r="23" spans="6:7" x14ac:dyDescent="0.4">
      <c r="F23">
        <f t="shared" si="0"/>
        <v>0</v>
      </c>
      <c r="G23">
        <f t="shared" si="1"/>
        <v>0</v>
      </c>
    </row>
    <row r="24" spans="6:7" x14ac:dyDescent="0.4">
      <c r="F24">
        <f t="shared" si="0"/>
        <v>0</v>
      </c>
      <c r="G24">
        <f t="shared" si="1"/>
        <v>0</v>
      </c>
    </row>
    <row r="25" spans="6:7" x14ac:dyDescent="0.4">
      <c r="F25">
        <f t="shared" si="0"/>
        <v>0</v>
      </c>
      <c r="G25">
        <f t="shared" si="1"/>
        <v>0</v>
      </c>
    </row>
    <row r="26" spans="6:7" x14ac:dyDescent="0.4">
      <c r="F26">
        <f t="shared" si="0"/>
        <v>0</v>
      </c>
      <c r="G26">
        <f t="shared" si="1"/>
        <v>0</v>
      </c>
    </row>
    <row r="27" spans="6:7" x14ac:dyDescent="0.4">
      <c r="F27">
        <f t="shared" si="0"/>
        <v>0</v>
      </c>
      <c r="G27">
        <f t="shared" si="1"/>
        <v>0</v>
      </c>
    </row>
    <row r="28" spans="6:7" x14ac:dyDescent="0.4">
      <c r="F28">
        <f t="shared" si="0"/>
        <v>0</v>
      </c>
      <c r="G28">
        <f t="shared" si="1"/>
        <v>0</v>
      </c>
    </row>
    <row r="29" spans="6:7" x14ac:dyDescent="0.4">
      <c r="F29">
        <f t="shared" si="0"/>
        <v>0</v>
      </c>
      <c r="G29">
        <f t="shared" si="1"/>
        <v>0</v>
      </c>
    </row>
    <row r="30" spans="6:7" x14ac:dyDescent="0.4">
      <c r="F30">
        <f t="shared" si="0"/>
        <v>0</v>
      </c>
      <c r="G30">
        <f t="shared" si="1"/>
        <v>0</v>
      </c>
    </row>
    <row r="31" spans="6:7" x14ac:dyDescent="0.4">
      <c r="F31">
        <f t="shared" si="0"/>
        <v>0</v>
      </c>
      <c r="G31">
        <f t="shared" si="1"/>
        <v>0</v>
      </c>
    </row>
    <row r="32" spans="6:7" x14ac:dyDescent="0.4">
      <c r="F32">
        <f t="shared" si="0"/>
        <v>0</v>
      </c>
      <c r="G32">
        <f t="shared" si="1"/>
        <v>0</v>
      </c>
    </row>
    <row r="33" spans="6:7" x14ac:dyDescent="0.4">
      <c r="F33">
        <f t="shared" si="0"/>
        <v>0</v>
      </c>
      <c r="G33">
        <f t="shared" si="1"/>
        <v>0</v>
      </c>
    </row>
    <row r="34" spans="6:7" x14ac:dyDescent="0.4">
      <c r="F34">
        <f t="shared" si="0"/>
        <v>0</v>
      </c>
      <c r="G34">
        <f t="shared" si="1"/>
        <v>0</v>
      </c>
    </row>
    <row r="35" spans="6:7" x14ac:dyDescent="0.4">
      <c r="F35">
        <f t="shared" si="0"/>
        <v>0</v>
      </c>
      <c r="G35">
        <f t="shared" si="1"/>
        <v>0</v>
      </c>
    </row>
    <row r="36" spans="6:7" x14ac:dyDescent="0.4">
      <c r="F36">
        <f t="shared" si="0"/>
        <v>0</v>
      </c>
      <c r="G36">
        <f t="shared" si="1"/>
        <v>0</v>
      </c>
    </row>
    <row r="37" spans="6:7" x14ac:dyDescent="0.4">
      <c r="F37">
        <f t="shared" si="0"/>
        <v>0</v>
      </c>
      <c r="G37">
        <f t="shared" si="1"/>
        <v>0</v>
      </c>
    </row>
    <row r="38" spans="6:7" x14ac:dyDescent="0.4">
      <c r="F38">
        <f t="shared" si="0"/>
        <v>0</v>
      </c>
      <c r="G38">
        <f t="shared" si="1"/>
        <v>0</v>
      </c>
    </row>
    <row r="39" spans="6:7" x14ac:dyDescent="0.4">
      <c r="F39">
        <f t="shared" si="0"/>
        <v>0</v>
      </c>
      <c r="G39">
        <f t="shared" si="1"/>
        <v>0</v>
      </c>
    </row>
    <row r="40" spans="6:7" x14ac:dyDescent="0.4">
      <c r="F40">
        <f t="shared" si="0"/>
        <v>0</v>
      </c>
      <c r="G40">
        <f t="shared" si="1"/>
        <v>0</v>
      </c>
    </row>
    <row r="41" spans="6:7" x14ac:dyDescent="0.4">
      <c r="F41">
        <f t="shared" si="0"/>
        <v>0</v>
      </c>
      <c r="G41">
        <f t="shared" si="1"/>
        <v>0</v>
      </c>
    </row>
    <row r="42" spans="6:7" x14ac:dyDescent="0.4">
      <c r="F42">
        <f t="shared" si="0"/>
        <v>0</v>
      </c>
      <c r="G42">
        <f t="shared" si="1"/>
        <v>0</v>
      </c>
    </row>
    <row r="43" spans="6:7" x14ac:dyDescent="0.4">
      <c r="F43">
        <f t="shared" si="0"/>
        <v>0</v>
      </c>
      <c r="G43">
        <f t="shared" si="1"/>
        <v>0</v>
      </c>
    </row>
    <row r="44" spans="6:7" x14ac:dyDescent="0.4">
      <c r="F44">
        <f t="shared" si="0"/>
        <v>0</v>
      </c>
      <c r="G44">
        <f t="shared" si="1"/>
        <v>0</v>
      </c>
    </row>
    <row r="45" spans="6:7" x14ac:dyDescent="0.4">
      <c r="F45">
        <f t="shared" si="0"/>
        <v>0</v>
      </c>
      <c r="G45">
        <f t="shared" si="1"/>
        <v>0</v>
      </c>
    </row>
    <row r="46" spans="6:7" x14ac:dyDescent="0.4">
      <c r="F46">
        <f t="shared" si="0"/>
        <v>0</v>
      </c>
      <c r="G46">
        <f t="shared" si="1"/>
        <v>0</v>
      </c>
    </row>
    <row r="47" spans="6:7" x14ac:dyDescent="0.4">
      <c r="F47">
        <f t="shared" si="0"/>
        <v>0</v>
      </c>
      <c r="G47">
        <f t="shared" si="1"/>
        <v>0</v>
      </c>
    </row>
    <row r="48" spans="6:7" x14ac:dyDescent="0.4">
      <c r="F48">
        <f t="shared" si="0"/>
        <v>0</v>
      </c>
      <c r="G48">
        <f t="shared" si="1"/>
        <v>0</v>
      </c>
    </row>
    <row r="49" spans="6:7" x14ac:dyDescent="0.4">
      <c r="F49">
        <f t="shared" si="0"/>
        <v>0</v>
      </c>
      <c r="G49">
        <f t="shared" si="1"/>
        <v>0</v>
      </c>
    </row>
    <row r="50" spans="6:7" x14ac:dyDescent="0.4">
      <c r="F50">
        <f t="shared" si="0"/>
        <v>0</v>
      </c>
      <c r="G50">
        <f t="shared" si="1"/>
        <v>0</v>
      </c>
    </row>
    <row r="51" spans="6:7" x14ac:dyDescent="0.4">
      <c r="F51">
        <f t="shared" si="0"/>
        <v>0</v>
      </c>
      <c r="G51">
        <f t="shared" si="1"/>
        <v>0</v>
      </c>
    </row>
    <row r="52" spans="6:7" x14ac:dyDescent="0.4">
      <c r="F52">
        <f t="shared" si="0"/>
        <v>0</v>
      </c>
      <c r="G52">
        <f t="shared" si="1"/>
        <v>0</v>
      </c>
    </row>
    <row r="53" spans="6:7" x14ac:dyDescent="0.4">
      <c r="F53">
        <f t="shared" si="0"/>
        <v>0</v>
      </c>
      <c r="G53">
        <f t="shared" si="1"/>
        <v>0</v>
      </c>
    </row>
    <row r="54" spans="6:7" x14ac:dyDescent="0.4">
      <c r="F54">
        <f t="shared" si="0"/>
        <v>0</v>
      </c>
      <c r="G54">
        <f t="shared" si="1"/>
        <v>0</v>
      </c>
    </row>
    <row r="55" spans="6:7" x14ac:dyDescent="0.4">
      <c r="F55">
        <f t="shared" si="0"/>
        <v>0</v>
      </c>
      <c r="G55">
        <f t="shared" si="1"/>
        <v>0</v>
      </c>
    </row>
    <row r="56" spans="6:7" x14ac:dyDescent="0.4">
      <c r="F56">
        <f t="shared" si="0"/>
        <v>0</v>
      </c>
      <c r="G56">
        <f t="shared" si="1"/>
        <v>0</v>
      </c>
    </row>
    <row r="57" spans="6:7" x14ac:dyDescent="0.4">
      <c r="F57">
        <f t="shared" si="0"/>
        <v>0</v>
      </c>
      <c r="G57">
        <f t="shared" si="1"/>
        <v>0</v>
      </c>
    </row>
    <row r="58" spans="6:7" x14ac:dyDescent="0.4">
      <c r="F58">
        <f t="shared" si="0"/>
        <v>0</v>
      </c>
      <c r="G58">
        <f t="shared" si="1"/>
        <v>0</v>
      </c>
    </row>
    <row r="59" spans="6:7" x14ac:dyDescent="0.4">
      <c r="F59">
        <f t="shared" si="0"/>
        <v>0</v>
      </c>
      <c r="G59">
        <f t="shared" si="1"/>
        <v>0</v>
      </c>
    </row>
    <row r="60" spans="6:7" x14ac:dyDescent="0.4">
      <c r="F60">
        <f t="shared" si="0"/>
        <v>0</v>
      </c>
      <c r="G60">
        <f t="shared" si="1"/>
        <v>0</v>
      </c>
    </row>
    <row r="61" spans="6:7" x14ac:dyDescent="0.4">
      <c r="F61">
        <f t="shared" si="0"/>
        <v>0</v>
      </c>
      <c r="G61">
        <f t="shared" si="1"/>
        <v>0</v>
      </c>
    </row>
    <row r="62" spans="6:7" x14ac:dyDescent="0.4">
      <c r="F62">
        <f t="shared" si="0"/>
        <v>0</v>
      </c>
      <c r="G62">
        <f t="shared" si="1"/>
        <v>0</v>
      </c>
    </row>
    <row r="63" spans="6:7" x14ac:dyDescent="0.4">
      <c r="F63">
        <f t="shared" si="0"/>
        <v>0</v>
      </c>
      <c r="G63">
        <f t="shared" si="1"/>
        <v>0</v>
      </c>
    </row>
    <row r="64" spans="6:7" x14ac:dyDescent="0.4">
      <c r="F64">
        <f t="shared" si="0"/>
        <v>0</v>
      </c>
      <c r="G64">
        <f t="shared" si="1"/>
        <v>0</v>
      </c>
    </row>
    <row r="65" spans="6:7" x14ac:dyDescent="0.4">
      <c r="F65">
        <f t="shared" si="0"/>
        <v>0</v>
      </c>
      <c r="G65">
        <f t="shared" si="1"/>
        <v>0</v>
      </c>
    </row>
    <row r="66" spans="6:7" x14ac:dyDescent="0.4">
      <c r="F66">
        <f t="shared" si="0"/>
        <v>0</v>
      </c>
      <c r="G66">
        <f t="shared" si="1"/>
        <v>0</v>
      </c>
    </row>
    <row r="67" spans="6:7" x14ac:dyDescent="0.4">
      <c r="F67">
        <f t="shared" ref="F67:F130" si="2">E67*D67</f>
        <v>0</v>
      </c>
      <c r="G67">
        <f t="shared" ref="G67:G130" si="3">F67-(F67*0.3)</f>
        <v>0</v>
      </c>
    </row>
    <row r="68" spans="6:7" x14ac:dyDescent="0.4">
      <c r="F68">
        <f t="shared" si="2"/>
        <v>0</v>
      </c>
      <c r="G68">
        <f t="shared" si="3"/>
        <v>0</v>
      </c>
    </row>
    <row r="69" spans="6:7" x14ac:dyDescent="0.4">
      <c r="F69">
        <f t="shared" si="2"/>
        <v>0</v>
      </c>
      <c r="G69">
        <f t="shared" si="3"/>
        <v>0</v>
      </c>
    </row>
    <row r="70" spans="6:7" x14ac:dyDescent="0.4">
      <c r="F70">
        <f t="shared" si="2"/>
        <v>0</v>
      </c>
      <c r="G70">
        <f t="shared" si="3"/>
        <v>0</v>
      </c>
    </row>
    <row r="71" spans="6:7" x14ac:dyDescent="0.4">
      <c r="F71">
        <f t="shared" si="2"/>
        <v>0</v>
      </c>
      <c r="G71">
        <f t="shared" si="3"/>
        <v>0</v>
      </c>
    </row>
    <row r="72" spans="6:7" x14ac:dyDescent="0.4">
      <c r="F72">
        <f t="shared" si="2"/>
        <v>0</v>
      </c>
      <c r="G72">
        <f t="shared" si="3"/>
        <v>0</v>
      </c>
    </row>
    <row r="73" spans="6:7" x14ac:dyDescent="0.4">
      <c r="F73">
        <f t="shared" si="2"/>
        <v>0</v>
      </c>
      <c r="G73">
        <f t="shared" si="3"/>
        <v>0</v>
      </c>
    </row>
    <row r="74" spans="6:7" x14ac:dyDescent="0.4">
      <c r="F74">
        <f t="shared" si="2"/>
        <v>0</v>
      </c>
      <c r="G74">
        <f t="shared" si="3"/>
        <v>0</v>
      </c>
    </row>
    <row r="75" spans="6:7" x14ac:dyDescent="0.4">
      <c r="F75">
        <f t="shared" si="2"/>
        <v>0</v>
      </c>
      <c r="G75">
        <f t="shared" si="3"/>
        <v>0</v>
      </c>
    </row>
    <row r="76" spans="6:7" x14ac:dyDescent="0.4">
      <c r="F76">
        <f t="shared" si="2"/>
        <v>0</v>
      </c>
      <c r="G76">
        <f t="shared" si="3"/>
        <v>0</v>
      </c>
    </row>
    <row r="77" spans="6:7" x14ac:dyDescent="0.4">
      <c r="F77">
        <f t="shared" si="2"/>
        <v>0</v>
      </c>
      <c r="G77">
        <f t="shared" si="3"/>
        <v>0</v>
      </c>
    </row>
    <row r="78" spans="6:7" x14ac:dyDescent="0.4">
      <c r="F78">
        <f t="shared" si="2"/>
        <v>0</v>
      </c>
      <c r="G78">
        <f t="shared" si="3"/>
        <v>0</v>
      </c>
    </row>
    <row r="79" spans="6:7" x14ac:dyDescent="0.4">
      <c r="F79">
        <f t="shared" si="2"/>
        <v>0</v>
      </c>
      <c r="G79">
        <f t="shared" si="3"/>
        <v>0</v>
      </c>
    </row>
    <row r="80" spans="6:7" x14ac:dyDescent="0.4">
      <c r="F80">
        <f t="shared" si="2"/>
        <v>0</v>
      </c>
      <c r="G80">
        <f t="shared" si="3"/>
        <v>0</v>
      </c>
    </row>
    <row r="81" spans="6:7" x14ac:dyDescent="0.4">
      <c r="F81">
        <f t="shared" si="2"/>
        <v>0</v>
      </c>
      <c r="G81">
        <f t="shared" si="3"/>
        <v>0</v>
      </c>
    </row>
    <row r="82" spans="6:7" x14ac:dyDescent="0.4">
      <c r="F82">
        <f t="shared" si="2"/>
        <v>0</v>
      </c>
      <c r="G82">
        <f t="shared" si="3"/>
        <v>0</v>
      </c>
    </row>
    <row r="83" spans="6:7" x14ac:dyDescent="0.4">
      <c r="F83">
        <f t="shared" si="2"/>
        <v>0</v>
      </c>
      <c r="G83">
        <f t="shared" si="3"/>
        <v>0</v>
      </c>
    </row>
    <row r="84" spans="6:7" x14ac:dyDescent="0.4">
      <c r="F84">
        <f t="shared" si="2"/>
        <v>0</v>
      </c>
      <c r="G84">
        <f t="shared" si="3"/>
        <v>0</v>
      </c>
    </row>
    <row r="85" spans="6:7" x14ac:dyDescent="0.4">
      <c r="F85">
        <f t="shared" si="2"/>
        <v>0</v>
      </c>
      <c r="G85">
        <f t="shared" si="3"/>
        <v>0</v>
      </c>
    </row>
    <row r="86" spans="6:7" x14ac:dyDescent="0.4">
      <c r="F86">
        <f t="shared" si="2"/>
        <v>0</v>
      </c>
      <c r="G86">
        <f t="shared" si="3"/>
        <v>0</v>
      </c>
    </row>
    <row r="87" spans="6:7" x14ac:dyDescent="0.4">
      <c r="F87">
        <f t="shared" si="2"/>
        <v>0</v>
      </c>
      <c r="G87">
        <f t="shared" si="3"/>
        <v>0</v>
      </c>
    </row>
    <row r="88" spans="6:7" x14ac:dyDescent="0.4">
      <c r="F88">
        <f t="shared" si="2"/>
        <v>0</v>
      </c>
      <c r="G88">
        <f t="shared" si="3"/>
        <v>0</v>
      </c>
    </row>
    <row r="89" spans="6:7" x14ac:dyDescent="0.4">
      <c r="F89">
        <f t="shared" si="2"/>
        <v>0</v>
      </c>
      <c r="G89">
        <f t="shared" si="3"/>
        <v>0</v>
      </c>
    </row>
    <row r="90" spans="6:7" x14ac:dyDescent="0.4">
      <c r="F90">
        <f t="shared" si="2"/>
        <v>0</v>
      </c>
      <c r="G90">
        <f t="shared" si="3"/>
        <v>0</v>
      </c>
    </row>
    <row r="91" spans="6:7" x14ac:dyDescent="0.4">
      <c r="F91">
        <f t="shared" si="2"/>
        <v>0</v>
      </c>
      <c r="G91">
        <f t="shared" si="3"/>
        <v>0</v>
      </c>
    </row>
    <row r="92" spans="6:7" x14ac:dyDescent="0.4">
      <c r="F92">
        <f t="shared" si="2"/>
        <v>0</v>
      </c>
      <c r="G92">
        <f t="shared" si="3"/>
        <v>0</v>
      </c>
    </row>
    <row r="93" spans="6:7" x14ac:dyDescent="0.4">
      <c r="F93">
        <f t="shared" si="2"/>
        <v>0</v>
      </c>
      <c r="G93">
        <f t="shared" si="3"/>
        <v>0</v>
      </c>
    </row>
    <row r="94" spans="6:7" x14ac:dyDescent="0.4">
      <c r="F94">
        <f t="shared" si="2"/>
        <v>0</v>
      </c>
      <c r="G94">
        <f t="shared" si="3"/>
        <v>0</v>
      </c>
    </row>
    <row r="95" spans="6:7" x14ac:dyDescent="0.4">
      <c r="F95">
        <f t="shared" si="2"/>
        <v>0</v>
      </c>
      <c r="G95">
        <f t="shared" si="3"/>
        <v>0</v>
      </c>
    </row>
    <row r="96" spans="6:7" x14ac:dyDescent="0.4">
      <c r="F96">
        <f t="shared" si="2"/>
        <v>0</v>
      </c>
      <c r="G96">
        <f t="shared" si="3"/>
        <v>0</v>
      </c>
    </row>
    <row r="97" spans="6:7" x14ac:dyDescent="0.4">
      <c r="F97">
        <f t="shared" si="2"/>
        <v>0</v>
      </c>
      <c r="G97">
        <f t="shared" si="3"/>
        <v>0</v>
      </c>
    </row>
    <row r="98" spans="6:7" x14ac:dyDescent="0.4">
      <c r="F98">
        <f t="shared" si="2"/>
        <v>0</v>
      </c>
      <c r="G98">
        <f t="shared" si="3"/>
        <v>0</v>
      </c>
    </row>
    <row r="99" spans="6:7" x14ac:dyDescent="0.4">
      <c r="F99">
        <f t="shared" si="2"/>
        <v>0</v>
      </c>
      <c r="G99">
        <f t="shared" si="3"/>
        <v>0</v>
      </c>
    </row>
    <row r="100" spans="6:7" x14ac:dyDescent="0.4">
      <c r="F100">
        <f t="shared" si="2"/>
        <v>0</v>
      </c>
      <c r="G100">
        <f t="shared" si="3"/>
        <v>0</v>
      </c>
    </row>
    <row r="101" spans="6:7" x14ac:dyDescent="0.4">
      <c r="F101">
        <f t="shared" si="2"/>
        <v>0</v>
      </c>
      <c r="G101">
        <f t="shared" si="3"/>
        <v>0</v>
      </c>
    </row>
    <row r="102" spans="6:7" x14ac:dyDescent="0.4">
      <c r="F102">
        <f t="shared" si="2"/>
        <v>0</v>
      </c>
      <c r="G102">
        <f t="shared" si="3"/>
        <v>0</v>
      </c>
    </row>
    <row r="103" spans="6:7" x14ac:dyDescent="0.4">
      <c r="F103">
        <f t="shared" si="2"/>
        <v>0</v>
      </c>
      <c r="G103">
        <f t="shared" si="3"/>
        <v>0</v>
      </c>
    </row>
    <row r="104" spans="6:7" x14ac:dyDescent="0.4">
      <c r="F104">
        <f t="shared" si="2"/>
        <v>0</v>
      </c>
      <c r="G104">
        <f t="shared" si="3"/>
        <v>0</v>
      </c>
    </row>
    <row r="105" spans="6:7" x14ac:dyDescent="0.4">
      <c r="F105">
        <f t="shared" si="2"/>
        <v>0</v>
      </c>
      <c r="G105">
        <f t="shared" si="3"/>
        <v>0</v>
      </c>
    </row>
    <row r="106" spans="6:7" x14ac:dyDescent="0.4">
      <c r="F106">
        <f t="shared" si="2"/>
        <v>0</v>
      </c>
      <c r="G106">
        <f t="shared" si="3"/>
        <v>0</v>
      </c>
    </row>
    <row r="107" spans="6:7" x14ac:dyDescent="0.4">
      <c r="F107">
        <f t="shared" si="2"/>
        <v>0</v>
      </c>
      <c r="G107">
        <f t="shared" si="3"/>
        <v>0</v>
      </c>
    </row>
    <row r="108" spans="6:7" x14ac:dyDescent="0.4">
      <c r="F108">
        <f t="shared" si="2"/>
        <v>0</v>
      </c>
      <c r="G108">
        <f t="shared" si="3"/>
        <v>0</v>
      </c>
    </row>
    <row r="109" spans="6:7" x14ac:dyDescent="0.4">
      <c r="F109">
        <f t="shared" si="2"/>
        <v>0</v>
      </c>
      <c r="G109">
        <f t="shared" si="3"/>
        <v>0</v>
      </c>
    </row>
    <row r="110" spans="6:7" x14ac:dyDescent="0.4">
      <c r="F110">
        <f t="shared" si="2"/>
        <v>0</v>
      </c>
      <c r="G110">
        <f t="shared" si="3"/>
        <v>0</v>
      </c>
    </row>
    <row r="111" spans="6:7" x14ac:dyDescent="0.4">
      <c r="F111">
        <f t="shared" si="2"/>
        <v>0</v>
      </c>
      <c r="G111">
        <f t="shared" si="3"/>
        <v>0</v>
      </c>
    </row>
    <row r="112" spans="6:7" x14ac:dyDescent="0.4">
      <c r="F112">
        <f t="shared" si="2"/>
        <v>0</v>
      </c>
      <c r="G112">
        <f t="shared" si="3"/>
        <v>0</v>
      </c>
    </row>
    <row r="113" spans="6:7" x14ac:dyDescent="0.4">
      <c r="F113">
        <f t="shared" si="2"/>
        <v>0</v>
      </c>
      <c r="G113">
        <f t="shared" si="3"/>
        <v>0</v>
      </c>
    </row>
    <row r="114" spans="6:7" x14ac:dyDescent="0.4">
      <c r="F114">
        <f t="shared" si="2"/>
        <v>0</v>
      </c>
      <c r="G114">
        <f t="shared" si="3"/>
        <v>0</v>
      </c>
    </row>
    <row r="115" spans="6:7" x14ac:dyDescent="0.4">
      <c r="F115">
        <f t="shared" si="2"/>
        <v>0</v>
      </c>
      <c r="G115">
        <f t="shared" si="3"/>
        <v>0</v>
      </c>
    </row>
    <row r="116" spans="6:7" x14ac:dyDescent="0.4">
      <c r="F116">
        <f t="shared" si="2"/>
        <v>0</v>
      </c>
      <c r="G116">
        <f t="shared" si="3"/>
        <v>0</v>
      </c>
    </row>
    <row r="117" spans="6:7" x14ac:dyDescent="0.4">
      <c r="F117">
        <f t="shared" si="2"/>
        <v>0</v>
      </c>
      <c r="G117">
        <f t="shared" si="3"/>
        <v>0</v>
      </c>
    </row>
    <row r="118" spans="6:7" x14ac:dyDescent="0.4">
      <c r="F118">
        <f t="shared" si="2"/>
        <v>0</v>
      </c>
      <c r="G118">
        <f t="shared" si="3"/>
        <v>0</v>
      </c>
    </row>
    <row r="119" spans="6:7" x14ac:dyDescent="0.4">
      <c r="F119">
        <f t="shared" si="2"/>
        <v>0</v>
      </c>
      <c r="G119">
        <f t="shared" si="3"/>
        <v>0</v>
      </c>
    </row>
    <row r="120" spans="6:7" x14ac:dyDescent="0.4">
      <c r="F120">
        <f t="shared" si="2"/>
        <v>0</v>
      </c>
      <c r="G120">
        <f t="shared" si="3"/>
        <v>0</v>
      </c>
    </row>
    <row r="121" spans="6:7" x14ac:dyDescent="0.4">
      <c r="F121">
        <f t="shared" si="2"/>
        <v>0</v>
      </c>
      <c r="G121">
        <f t="shared" si="3"/>
        <v>0</v>
      </c>
    </row>
    <row r="122" spans="6:7" x14ac:dyDescent="0.4">
      <c r="F122">
        <f t="shared" si="2"/>
        <v>0</v>
      </c>
      <c r="G122">
        <f t="shared" si="3"/>
        <v>0</v>
      </c>
    </row>
    <row r="123" spans="6:7" x14ac:dyDescent="0.4">
      <c r="F123">
        <f t="shared" si="2"/>
        <v>0</v>
      </c>
      <c r="G123">
        <f t="shared" si="3"/>
        <v>0</v>
      </c>
    </row>
    <row r="124" spans="6:7" x14ac:dyDescent="0.4">
      <c r="F124">
        <f t="shared" si="2"/>
        <v>0</v>
      </c>
      <c r="G124">
        <f t="shared" si="3"/>
        <v>0</v>
      </c>
    </row>
    <row r="125" spans="6:7" x14ac:dyDescent="0.4">
      <c r="F125">
        <f t="shared" si="2"/>
        <v>0</v>
      </c>
      <c r="G125">
        <f t="shared" si="3"/>
        <v>0</v>
      </c>
    </row>
    <row r="126" spans="6:7" x14ac:dyDescent="0.4">
      <c r="F126">
        <f t="shared" si="2"/>
        <v>0</v>
      </c>
      <c r="G126">
        <f t="shared" si="3"/>
        <v>0</v>
      </c>
    </row>
    <row r="127" spans="6:7" x14ac:dyDescent="0.4">
      <c r="F127">
        <f t="shared" si="2"/>
        <v>0</v>
      </c>
      <c r="G127">
        <f t="shared" si="3"/>
        <v>0</v>
      </c>
    </row>
    <row r="128" spans="6:7" x14ac:dyDescent="0.4">
      <c r="F128">
        <f t="shared" si="2"/>
        <v>0</v>
      </c>
      <c r="G128">
        <f t="shared" si="3"/>
        <v>0</v>
      </c>
    </row>
    <row r="129" spans="6:7" x14ac:dyDescent="0.4">
      <c r="F129">
        <f t="shared" si="2"/>
        <v>0</v>
      </c>
      <c r="G129">
        <f t="shared" si="3"/>
        <v>0</v>
      </c>
    </row>
    <row r="130" spans="6:7" x14ac:dyDescent="0.4">
      <c r="F130">
        <f t="shared" si="2"/>
        <v>0</v>
      </c>
      <c r="G130">
        <f t="shared" si="3"/>
        <v>0</v>
      </c>
    </row>
    <row r="131" spans="6:7" x14ac:dyDescent="0.4">
      <c r="F131">
        <f t="shared" ref="F131:F194" si="4">E131*D131</f>
        <v>0</v>
      </c>
      <c r="G131">
        <f t="shared" ref="G131:G194" si="5">F131-(F131*0.3)</f>
        <v>0</v>
      </c>
    </row>
    <row r="132" spans="6:7" x14ac:dyDescent="0.4">
      <c r="F132">
        <f t="shared" si="4"/>
        <v>0</v>
      </c>
      <c r="G132">
        <f t="shared" si="5"/>
        <v>0</v>
      </c>
    </row>
    <row r="133" spans="6:7" x14ac:dyDescent="0.4">
      <c r="F133">
        <f t="shared" si="4"/>
        <v>0</v>
      </c>
      <c r="G133">
        <f t="shared" si="5"/>
        <v>0</v>
      </c>
    </row>
    <row r="134" spans="6:7" x14ac:dyDescent="0.4">
      <c r="F134">
        <f t="shared" si="4"/>
        <v>0</v>
      </c>
      <c r="G134">
        <f t="shared" si="5"/>
        <v>0</v>
      </c>
    </row>
    <row r="135" spans="6:7" x14ac:dyDescent="0.4">
      <c r="F135">
        <f t="shared" si="4"/>
        <v>0</v>
      </c>
      <c r="G135">
        <f t="shared" si="5"/>
        <v>0</v>
      </c>
    </row>
    <row r="136" spans="6:7" x14ac:dyDescent="0.4">
      <c r="F136">
        <f t="shared" si="4"/>
        <v>0</v>
      </c>
      <c r="G136">
        <f t="shared" si="5"/>
        <v>0</v>
      </c>
    </row>
    <row r="137" spans="6:7" x14ac:dyDescent="0.4">
      <c r="F137">
        <f t="shared" si="4"/>
        <v>0</v>
      </c>
      <c r="G137">
        <f t="shared" si="5"/>
        <v>0</v>
      </c>
    </row>
    <row r="138" spans="6:7" x14ac:dyDescent="0.4">
      <c r="F138">
        <f t="shared" si="4"/>
        <v>0</v>
      </c>
      <c r="G138">
        <f t="shared" si="5"/>
        <v>0</v>
      </c>
    </row>
    <row r="139" spans="6:7" x14ac:dyDescent="0.4">
      <c r="F139">
        <f t="shared" si="4"/>
        <v>0</v>
      </c>
      <c r="G139">
        <f t="shared" si="5"/>
        <v>0</v>
      </c>
    </row>
    <row r="140" spans="6:7" x14ac:dyDescent="0.4">
      <c r="F140">
        <f t="shared" si="4"/>
        <v>0</v>
      </c>
      <c r="G140">
        <f t="shared" si="5"/>
        <v>0</v>
      </c>
    </row>
    <row r="141" spans="6:7" x14ac:dyDescent="0.4">
      <c r="F141">
        <f t="shared" si="4"/>
        <v>0</v>
      </c>
      <c r="G141">
        <f t="shared" si="5"/>
        <v>0</v>
      </c>
    </row>
    <row r="142" spans="6:7" x14ac:dyDescent="0.4">
      <c r="F142">
        <f t="shared" si="4"/>
        <v>0</v>
      </c>
      <c r="G142">
        <f t="shared" si="5"/>
        <v>0</v>
      </c>
    </row>
    <row r="143" spans="6:7" x14ac:dyDescent="0.4">
      <c r="F143">
        <f t="shared" si="4"/>
        <v>0</v>
      </c>
      <c r="G143">
        <f t="shared" si="5"/>
        <v>0</v>
      </c>
    </row>
    <row r="144" spans="6:7" x14ac:dyDescent="0.4">
      <c r="F144">
        <f t="shared" si="4"/>
        <v>0</v>
      </c>
      <c r="G144">
        <f t="shared" si="5"/>
        <v>0</v>
      </c>
    </row>
    <row r="145" spans="6:7" x14ac:dyDescent="0.4">
      <c r="F145">
        <f t="shared" si="4"/>
        <v>0</v>
      </c>
      <c r="G145">
        <f t="shared" si="5"/>
        <v>0</v>
      </c>
    </row>
    <row r="146" spans="6:7" x14ac:dyDescent="0.4">
      <c r="F146">
        <f t="shared" si="4"/>
        <v>0</v>
      </c>
      <c r="G146">
        <f t="shared" si="5"/>
        <v>0</v>
      </c>
    </row>
    <row r="147" spans="6:7" x14ac:dyDescent="0.4">
      <c r="F147">
        <f t="shared" si="4"/>
        <v>0</v>
      </c>
      <c r="G147">
        <f t="shared" si="5"/>
        <v>0</v>
      </c>
    </row>
    <row r="148" spans="6:7" x14ac:dyDescent="0.4">
      <c r="F148">
        <f t="shared" si="4"/>
        <v>0</v>
      </c>
      <c r="G148">
        <f t="shared" si="5"/>
        <v>0</v>
      </c>
    </row>
    <row r="149" spans="6:7" x14ac:dyDescent="0.4">
      <c r="F149">
        <f t="shared" si="4"/>
        <v>0</v>
      </c>
      <c r="G149">
        <f t="shared" si="5"/>
        <v>0</v>
      </c>
    </row>
    <row r="150" spans="6:7" x14ac:dyDescent="0.4">
      <c r="F150">
        <f t="shared" si="4"/>
        <v>0</v>
      </c>
      <c r="G150">
        <f t="shared" si="5"/>
        <v>0</v>
      </c>
    </row>
    <row r="151" spans="6:7" x14ac:dyDescent="0.4">
      <c r="F151">
        <f t="shared" si="4"/>
        <v>0</v>
      </c>
      <c r="G151">
        <f t="shared" si="5"/>
        <v>0</v>
      </c>
    </row>
    <row r="152" spans="6:7" x14ac:dyDescent="0.4">
      <c r="F152">
        <f t="shared" si="4"/>
        <v>0</v>
      </c>
      <c r="G152">
        <f t="shared" si="5"/>
        <v>0</v>
      </c>
    </row>
    <row r="153" spans="6:7" x14ac:dyDescent="0.4">
      <c r="F153">
        <f t="shared" si="4"/>
        <v>0</v>
      </c>
      <c r="G153">
        <f t="shared" si="5"/>
        <v>0</v>
      </c>
    </row>
    <row r="154" spans="6:7" x14ac:dyDescent="0.4">
      <c r="F154">
        <f t="shared" si="4"/>
        <v>0</v>
      </c>
      <c r="G154">
        <f t="shared" si="5"/>
        <v>0</v>
      </c>
    </row>
    <row r="155" spans="6:7" x14ac:dyDescent="0.4">
      <c r="F155">
        <f t="shared" si="4"/>
        <v>0</v>
      </c>
      <c r="G155">
        <f t="shared" si="5"/>
        <v>0</v>
      </c>
    </row>
    <row r="156" spans="6:7" x14ac:dyDescent="0.4">
      <c r="F156">
        <f t="shared" si="4"/>
        <v>0</v>
      </c>
      <c r="G156">
        <f t="shared" si="5"/>
        <v>0</v>
      </c>
    </row>
    <row r="157" spans="6:7" x14ac:dyDescent="0.4">
      <c r="F157">
        <f t="shared" si="4"/>
        <v>0</v>
      </c>
      <c r="G157">
        <f t="shared" si="5"/>
        <v>0</v>
      </c>
    </row>
    <row r="158" spans="6:7" x14ac:dyDescent="0.4">
      <c r="F158">
        <f t="shared" si="4"/>
        <v>0</v>
      </c>
      <c r="G158">
        <f t="shared" si="5"/>
        <v>0</v>
      </c>
    </row>
    <row r="159" spans="6:7" x14ac:dyDescent="0.4">
      <c r="F159">
        <f t="shared" si="4"/>
        <v>0</v>
      </c>
      <c r="G159">
        <f t="shared" si="5"/>
        <v>0</v>
      </c>
    </row>
    <row r="160" spans="6:7" x14ac:dyDescent="0.4">
      <c r="F160">
        <f t="shared" si="4"/>
        <v>0</v>
      </c>
      <c r="G160">
        <f t="shared" si="5"/>
        <v>0</v>
      </c>
    </row>
    <row r="161" spans="6:7" x14ac:dyDescent="0.4">
      <c r="F161">
        <f t="shared" si="4"/>
        <v>0</v>
      </c>
      <c r="G161">
        <f t="shared" si="5"/>
        <v>0</v>
      </c>
    </row>
    <row r="162" spans="6:7" x14ac:dyDescent="0.4">
      <c r="F162">
        <f t="shared" si="4"/>
        <v>0</v>
      </c>
      <c r="G162">
        <f t="shared" si="5"/>
        <v>0</v>
      </c>
    </row>
    <row r="163" spans="6:7" x14ac:dyDescent="0.4">
      <c r="F163">
        <f t="shared" si="4"/>
        <v>0</v>
      </c>
      <c r="G163">
        <f t="shared" si="5"/>
        <v>0</v>
      </c>
    </row>
    <row r="164" spans="6:7" x14ac:dyDescent="0.4">
      <c r="F164">
        <f t="shared" si="4"/>
        <v>0</v>
      </c>
      <c r="G164">
        <f t="shared" si="5"/>
        <v>0</v>
      </c>
    </row>
    <row r="165" spans="6:7" x14ac:dyDescent="0.4">
      <c r="F165">
        <f t="shared" si="4"/>
        <v>0</v>
      </c>
      <c r="G165">
        <f t="shared" si="5"/>
        <v>0</v>
      </c>
    </row>
    <row r="166" spans="6:7" x14ac:dyDescent="0.4">
      <c r="F166">
        <f t="shared" si="4"/>
        <v>0</v>
      </c>
      <c r="G166">
        <f t="shared" si="5"/>
        <v>0</v>
      </c>
    </row>
    <row r="167" spans="6:7" x14ac:dyDescent="0.4">
      <c r="F167">
        <f t="shared" si="4"/>
        <v>0</v>
      </c>
      <c r="G167">
        <f t="shared" si="5"/>
        <v>0</v>
      </c>
    </row>
    <row r="168" spans="6:7" x14ac:dyDescent="0.4">
      <c r="F168">
        <f t="shared" si="4"/>
        <v>0</v>
      </c>
      <c r="G168">
        <f t="shared" si="5"/>
        <v>0</v>
      </c>
    </row>
    <row r="169" spans="6:7" x14ac:dyDescent="0.4">
      <c r="F169">
        <f t="shared" si="4"/>
        <v>0</v>
      </c>
      <c r="G169">
        <f t="shared" si="5"/>
        <v>0</v>
      </c>
    </row>
    <row r="170" spans="6:7" x14ac:dyDescent="0.4">
      <c r="F170">
        <f t="shared" si="4"/>
        <v>0</v>
      </c>
      <c r="G170">
        <f t="shared" si="5"/>
        <v>0</v>
      </c>
    </row>
    <row r="171" spans="6:7" x14ac:dyDescent="0.4">
      <c r="F171">
        <f t="shared" si="4"/>
        <v>0</v>
      </c>
      <c r="G171">
        <f t="shared" si="5"/>
        <v>0</v>
      </c>
    </row>
    <row r="172" spans="6:7" x14ac:dyDescent="0.4">
      <c r="F172">
        <f t="shared" si="4"/>
        <v>0</v>
      </c>
      <c r="G172">
        <f t="shared" si="5"/>
        <v>0</v>
      </c>
    </row>
    <row r="173" spans="6:7" x14ac:dyDescent="0.4">
      <c r="F173">
        <f t="shared" si="4"/>
        <v>0</v>
      </c>
      <c r="G173">
        <f t="shared" si="5"/>
        <v>0</v>
      </c>
    </row>
    <row r="174" spans="6:7" x14ac:dyDescent="0.4">
      <c r="F174">
        <f t="shared" si="4"/>
        <v>0</v>
      </c>
      <c r="G174">
        <f t="shared" si="5"/>
        <v>0</v>
      </c>
    </row>
    <row r="175" spans="6:7" x14ac:dyDescent="0.4">
      <c r="F175">
        <f t="shared" si="4"/>
        <v>0</v>
      </c>
      <c r="G175">
        <f t="shared" si="5"/>
        <v>0</v>
      </c>
    </row>
    <row r="176" spans="6:7" x14ac:dyDescent="0.4">
      <c r="F176">
        <f t="shared" si="4"/>
        <v>0</v>
      </c>
      <c r="G176">
        <f t="shared" si="5"/>
        <v>0</v>
      </c>
    </row>
    <row r="177" spans="6:7" x14ac:dyDescent="0.4">
      <c r="F177">
        <f t="shared" si="4"/>
        <v>0</v>
      </c>
      <c r="G177">
        <f t="shared" si="5"/>
        <v>0</v>
      </c>
    </row>
    <row r="178" spans="6:7" x14ac:dyDescent="0.4">
      <c r="F178">
        <f t="shared" si="4"/>
        <v>0</v>
      </c>
      <c r="G178">
        <f t="shared" si="5"/>
        <v>0</v>
      </c>
    </row>
    <row r="179" spans="6:7" x14ac:dyDescent="0.4">
      <c r="F179">
        <f t="shared" si="4"/>
        <v>0</v>
      </c>
      <c r="G179">
        <f t="shared" si="5"/>
        <v>0</v>
      </c>
    </row>
    <row r="180" spans="6:7" x14ac:dyDescent="0.4">
      <c r="F180">
        <f t="shared" si="4"/>
        <v>0</v>
      </c>
      <c r="G180">
        <f t="shared" si="5"/>
        <v>0</v>
      </c>
    </row>
    <row r="181" spans="6:7" x14ac:dyDescent="0.4">
      <c r="F181">
        <f t="shared" si="4"/>
        <v>0</v>
      </c>
      <c r="G181">
        <f t="shared" si="5"/>
        <v>0</v>
      </c>
    </row>
    <row r="182" spans="6:7" x14ac:dyDescent="0.4">
      <c r="F182">
        <f t="shared" si="4"/>
        <v>0</v>
      </c>
      <c r="G182">
        <f t="shared" si="5"/>
        <v>0</v>
      </c>
    </row>
    <row r="183" spans="6:7" x14ac:dyDescent="0.4">
      <c r="F183">
        <f t="shared" si="4"/>
        <v>0</v>
      </c>
      <c r="G183">
        <f t="shared" si="5"/>
        <v>0</v>
      </c>
    </row>
    <row r="184" spans="6:7" x14ac:dyDescent="0.4">
      <c r="F184">
        <f t="shared" si="4"/>
        <v>0</v>
      </c>
      <c r="G184">
        <f t="shared" si="5"/>
        <v>0</v>
      </c>
    </row>
    <row r="185" spans="6:7" x14ac:dyDescent="0.4">
      <c r="F185">
        <f t="shared" si="4"/>
        <v>0</v>
      </c>
      <c r="G185">
        <f t="shared" si="5"/>
        <v>0</v>
      </c>
    </row>
    <row r="186" spans="6:7" x14ac:dyDescent="0.4">
      <c r="F186">
        <f t="shared" si="4"/>
        <v>0</v>
      </c>
      <c r="G186">
        <f t="shared" si="5"/>
        <v>0</v>
      </c>
    </row>
    <row r="187" spans="6:7" x14ac:dyDescent="0.4">
      <c r="F187">
        <f t="shared" si="4"/>
        <v>0</v>
      </c>
      <c r="G187">
        <f t="shared" si="5"/>
        <v>0</v>
      </c>
    </row>
    <row r="188" spans="6:7" x14ac:dyDescent="0.4">
      <c r="F188">
        <f t="shared" si="4"/>
        <v>0</v>
      </c>
      <c r="G188">
        <f t="shared" si="5"/>
        <v>0</v>
      </c>
    </row>
    <row r="189" spans="6:7" x14ac:dyDescent="0.4">
      <c r="F189">
        <f t="shared" si="4"/>
        <v>0</v>
      </c>
      <c r="G189">
        <f t="shared" si="5"/>
        <v>0</v>
      </c>
    </row>
    <row r="190" spans="6:7" x14ac:dyDescent="0.4">
      <c r="F190">
        <f t="shared" si="4"/>
        <v>0</v>
      </c>
      <c r="G190">
        <f t="shared" si="5"/>
        <v>0</v>
      </c>
    </row>
    <row r="191" spans="6:7" x14ac:dyDescent="0.4">
      <c r="F191">
        <f t="shared" si="4"/>
        <v>0</v>
      </c>
      <c r="G191">
        <f t="shared" si="5"/>
        <v>0</v>
      </c>
    </row>
    <row r="192" spans="6:7" x14ac:dyDescent="0.4">
      <c r="F192">
        <f t="shared" si="4"/>
        <v>0</v>
      </c>
      <c r="G192">
        <f t="shared" si="5"/>
        <v>0</v>
      </c>
    </row>
    <row r="193" spans="6:7" x14ac:dyDescent="0.4">
      <c r="F193">
        <f t="shared" si="4"/>
        <v>0</v>
      </c>
      <c r="G193">
        <f t="shared" si="5"/>
        <v>0</v>
      </c>
    </row>
    <row r="194" spans="6:7" x14ac:dyDescent="0.4">
      <c r="F194">
        <f t="shared" si="4"/>
        <v>0</v>
      </c>
      <c r="G194">
        <f t="shared" si="5"/>
        <v>0</v>
      </c>
    </row>
    <row r="195" spans="6:7" x14ac:dyDescent="0.4">
      <c r="F195">
        <f t="shared" ref="F195:F258" si="6">E195*D195</f>
        <v>0</v>
      </c>
      <c r="G195">
        <f t="shared" ref="G195:G258" si="7">F195-(F195*0.3)</f>
        <v>0</v>
      </c>
    </row>
    <row r="196" spans="6:7" x14ac:dyDescent="0.4">
      <c r="F196">
        <f t="shared" si="6"/>
        <v>0</v>
      </c>
      <c r="G196">
        <f t="shared" si="7"/>
        <v>0</v>
      </c>
    </row>
    <row r="197" spans="6:7" x14ac:dyDescent="0.4">
      <c r="F197">
        <f t="shared" si="6"/>
        <v>0</v>
      </c>
      <c r="G197">
        <f t="shared" si="7"/>
        <v>0</v>
      </c>
    </row>
    <row r="198" spans="6:7" x14ac:dyDescent="0.4">
      <c r="F198">
        <f t="shared" si="6"/>
        <v>0</v>
      </c>
      <c r="G198">
        <f t="shared" si="7"/>
        <v>0</v>
      </c>
    </row>
    <row r="199" spans="6:7" x14ac:dyDescent="0.4">
      <c r="F199">
        <f t="shared" si="6"/>
        <v>0</v>
      </c>
      <c r="G199">
        <f t="shared" si="7"/>
        <v>0</v>
      </c>
    </row>
    <row r="200" spans="6:7" x14ac:dyDescent="0.4">
      <c r="F200">
        <f t="shared" si="6"/>
        <v>0</v>
      </c>
      <c r="G200">
        <f t="shared" si="7"/>
        <v>0</v>
      </c>
    </row>
    <row r="201" spans="6:7" x14ac:dyDescent="0.4">
      <c r="F201">
        <f t="shared" si="6"/>
        <v>0</v>
      </c>
      <c r="G201">
        <f t="shared" si="7"/>
        <v>0</v>
      </c>
    </row>
    <row r="202" spans="6:7" x14ac:dyDescent="0.4">
      <c r="F202">
        <f t="shared" si="6"/>
        <v>0</v>
      </c>
      <c r="G202">
        <f t="shared" si="7"/>
        <v>0</v>
      </c>
    </row>
    <row r="203" spans="6:7" x14ac:dyDescent="0.4">
      <c r="F203">
        <f t="shared" si="6"/>
        <v>0</v>
      </c>
      <c r="G203">
        <f t="shared" si="7"/>
        <v>0</v>
      </c>
    </row>
    <row r="204" spans="6:7" x14ac:dyDescent="0.4">
      <c r="F204">
        <f t="shared" si="6"/>
        <v>0</v>
      </c>
      <c r="G204">
        <f t="shared" si="7"/>
        <v>0</v>
      </c>
    </row>
    <row r="205" spans="6:7" x14ac:dyDescent="0.4">
      <c r="F205">
        <f t="shared" si="6"/>
        <v>0</v>
      </c>
      <c r="G205">
        <f t="shared" si="7"/>
        <v>0</v>
      </c>
    </row>
    <row r="206" spans="6:7" x14ac:dyDescent="0.4">
      <c r="F206">
        <f t="shared" si="6"/>
        <v>0</v>
      </c>
      <c r="G206">
        <f t="shared" si="7"/>
        <v>0</v>
      </c>
    </row>
    <row r="207" spans="6:7" x14ac:dyDescent="0.4">
      <c r="F207">
        <f t="shared" si="6"/>
        <v>0</v>
      </c>
      <c r="G207">
        <f t="shared" si="7"/>
        <v>0</v>
      </c>
    </row>
    <row r="208" spans="6:7" x14ac:dyDescent="0.4">
      <c r="F208">
        <f t="shared" si="6"/>
        <v>0</v>
      </c>
      <c r="G208">
        <f t="shared" si="7"/>
        <v>0</v>
      </c>
    </row>
    <row r="209" spans="6:7" x14ac:dyDescent="0.4">
      <c r="F209">
        <f t="shared" si="6"/>
        <v>0</v>
      </c>
      <c r="G209">
        <f t="shared" si="7"/>
        <v>0</v>
      </c>
    </row>
    <row r="210" spans="6:7" x14ac:dyDescent="0.4">
      <c r="F210">
        <f t="shared" si="6"/>
        <v>0</v>
      </c>
      <c r="G210">
        <f t="shared" si="7"/>
        <v>0</v>
      </c>
    </row>
    <row r="211" spans="6:7" x14ac:dyDescent="0.4">
      <c r="F211">
        <f t="shared" si="6"/>
        <v>0</v>
      </c>
      <c r="G211">
        <f t="shared" si="7"/>
        <v>0</v>
      </c>
    </row>
    <row r="212" spans="6:7" x14ac:dyDescent="0.4">
      <c r="F212">
        <f t="shared" si="6"/>
        <v>0</v>
      </c>
      <c r="G212">
        <f t="shared" si="7"/>
        <v>0</v>
      </c>
    </row>
    <row r="213" spans="6:7" x14ac:dyDescent="0.4">
      <c r="F213">
        <f t="shared" si="6"/>
        <v>0</v>
      </c>
      <c r="G213">
        <f t="shared" si="7"/>
        <v>0</v>
      </c>
    </row>
    <row r="214" spans="6:7" x14ac:dyDescent="0.4">
      <c r="F214">
        <f t="shared" si="6"/>
        <v>0</v>
      </c>
      <c r="G214">
        <f t="shared" si="7"/>
        <v>0</v>
      </c>
    </row>
    <row r="215" spans="6:7" x14ac:dyDescent="0.4">
      <c r="F215">
        <f t="shared" si="6"/>
        <v>0</v>
      </c>
      <c r="G215">
        <f t="shared" si="7"/>
        <v>0</v>
      </c>
    </row>
    <row r="216" spans="6:7" x14ac:dyDescent="0.4">
      <c r="F216">
        <f t="shared" si="6"/>
        <v>0</v>
      </c>
      <c r="G216">
        <f t="shared" si="7"/>
        <v>0</v>
      </c>
    </row>
    <row r="217" spans="6:7" x14ac:dyDescent="0.4">
      <c r="F217">
        <f t="shared" si="6"/>
        <v>0</v>
      </c>
      <c r="G217">
        <f t="shared" si="7"/>
        <v>0</v>
      </c>
    </row>
    <row r="218" spans="6:7" x14ac:dyDescent="0.4">
      <c r="F218">
        <f t="shared" si="6"/>
        <v>0</v>
      </c>
      <c r="G218">
        <f t="shared" si="7"/>
        <v>0</v>
      </c>
    </row>
    <row r="219" spans="6:7" x14ac:dyDescent="0.4">
      <c r="F219">
        <f t="shared" si="6"/>
        <v>0</v>
      </c>
      <c r="G219">
        <f t="shared" si="7"/>
        <v>0</v>
      </c>
    </row>
    <row r="220" spans="6:7" x14ac:dyDescent="0.4">
      <c r="F220">
        <f t="shared" si="6"/>
        <v>0</v>
      </c>
      <c r="G220">
        <f t="shared" si="7"/>
        <v>0</v>
      </c>
    </row>
    <row r="221" spans="6:7" x14ac:dyDescent="0.4">
      <c r="F221">
        <f t="shared" si="6"/>
        <v>0</v>
      </c>
      <c r="G221">
        <f t="shared" si="7"/>
        <v>0</v>
      </c>
    </row>
    <row r="222" spans="6:7" x14ac:dyDescent="0.4">
      <c r="F222">
        <f t="shared" si="6"/>
        <v>0</v>
      </c>
      <c r="G222">
        <f t="shared" si="7"/>
        <v>0</v>
      </c>
    </row>
    <row r="223" spans="6:7" x14ac:dyDescent="0.4">
      <c r="F223">
        <f t="shared" si="6"/>
        <v>0</v>
      </c>
      <c r="G223">
        <f t="shared" si="7"/>
        <v>0</v>
      </c>
    </row>
    <row r="224" spans="6:7" x14ac:dyDescent="0.4">
      <c r="F224">
        <f t="shared" si="6"/>
        <v>0</v>
      </c>
      <c r="G224">
        <f t="shared" si="7"/>
        <v>0</v>
      </c>
    </row>
    <row r="225" spans="6:7" x14ac:dyDescent="0.4">
      <c r="F225">
        <f t="shared" si="6"/>
        <v>0</v>
      </c>
      <c r="G225">
        <f t="shared" si="7"/>
        <v>0</v>
      </c>
    </row>
    <row r="226" spans="6:7" x14ac:dyDescent="0.4">
      <c r="F226">
        <f t="shared" si="6"/>
        <v>0</v>
      </c>
      <c r="G226">
        <f t="shared" si="7"/>
        <v>0</v>
      </c>
    </row>
    <row r="227" spans="6:7" x14ac:dyDescent="0.4">
      <c r="F227">
        <f t="shared" si="6"/>
        <v>0</v>
      </c>
      <c r="G227">
        <f t="shared" si="7"/>
        <v>0</v>
      </c>
    </row>
    <row r="228" spans="6:7" x14ac:dyDescent="0.4">
      <c r="F228">
        <f t="shared" si="6"/>
        <v>0</v>
      </c>
      <c r="G228">
        <f t="shared" si="7"/>
        <v>0</v>
      </c>
    </row>
    <row r="229" spans="6:7" x14ac:dyDescent="0.4">
      <c r="F229">
        <f t="shared" si="6"/>
        <v>0</v>
      </c>
      <c r="G229">
        <f t="shared" si="7"/>
        <v>0</v>
      </c>
    </row>
    <row r="230" spans="6:7" x14ac:dyDescent="0.4">
      <c r="F230">
        <f t="shared" si="6"/>
        <v>0</v>
      </c>
      <c r="G230">
        <f t="shared" si="7"/>
        <v>0</v>
      </c>
    </row>
    <row r="231" spans="6:7" x14ac:dyDescent="0.4">
      <c r="F231">
        <f t="shared" si="6"/>
        <v>0</v>
      </c>
      <c r="G231">
        <f t="shared" si="7"/>
        <v>0</v>
      </c>
    </row>
    <row r="232" spans="6:7" x14ac:dyDescent="0.4">
      <c r="F232">
        <f t="shared" si="6"/>
        <v>0</v>
      </c>
      <c r="G232">
        <f t="shared" si="7"/>
        <v>0</v>
      </c>
    </row>
    <row r="233" spans="6:7" x14ac:dyDescent="0.4">
      <c r="F233">
        <f t="shared" si="6"/>
        <v>0</v>
      </c>
      <c r="G233">
        <f t="shared" si="7"/>
        <v>0</v>
      </c>
    </row>
    <row r="234" spans="6:7" x14ac:dyDescent="0.4">
      <c r="F234">
        <f t="shared" si="6"/>
        <v>0</v>
      </c>
      <c r="G234">
        <f t="shared" si="7"/>
        <v>0</v>
      </c>
    </row>
    <row r="235" spans="6:7" x14ac:dyDescent="0.4">
      <c r="F235">
        <f t="shared" si="6"/>
        <v>0</v>
      </c>
      <c r="G235">
        <f t="shared" si="7"/>
        <v>0</v>
      </c>
    </row>
    <row r="236" spans="6:7" x14ac:dyDescent="0.4">
      <c r="F236">
        <f t="shared" si="6"/>
        <v>0</v>
      </c>
      <c r="G236">
        <f t="shared" si="7"/>
        <v>0</v>
      </c>
    </row>
    <row r="237" spans="6:7" x14ac:dyDescent="0.4">
      <c r="F237">
        <f t="shared" si="6"/>
        <v>0</v>
      </c>
      <c r="G237">
        <f t="shared" si="7"/>
        <v>0</v>
      </c>
    </row>
    <row r="238" spans="6:7" x14ac:dyDescent="0.4">
      <c r="F238">
        <f t="shared" si="6"/>
        <v>0</v>
      </c>
      <c r="G238">
        <f t="shared" si="7"/>
        <v>0</v>
      </c>
    </row>
    <row r="239" spans="6:7" x14ac:dyDescent="0.4">
      <c r="F239">
        <f t="shared" si="6"/>
        <v>0</v>
      </c>
      <c r="G239">
        <f t="shared" si="7"/>
        <v>0</v>
      </c>
    </row>
    <row r="240" spans="6:7" x14ac:dyDescent="0.4">
      <c r="F240">
        <f t="shared" si="6"/>
        <v>0</v>
      </c>
      <c r="G240">
        <f t="shared" si="7"/>
        <v>0</v>
      </c>
    </row>
    <row r="241" spans="6:7" x14ac:dyDescent="0.4">
      <c r="F241">
        <f t="shared" si="6"/>
        <v>0</v>
      </c>
      <c r="G241">
        <f t="shared" si="7"/>
        <v>0</v>
      </c>
    </row>
    <row r="242" spans="6:7" x14ac:dyDescent="0.4">
      <c r="F242">
        <f t="shared" si="6"/>
        <v>0</v>
      </c>
      <c r="G242">
        <f t="shared" si="7"/>
        <v>0</v>
      </c>
    </row>
    <row r="243" spans="6:7" x14ac:dyDescent="0.4">
      <c r="F243">
        <f t="shared" si="6"/>
        <v>0</v>
      </c>
      <c r="G243">
        <f t="shared" si="7"/>
        <v>0</v>
      </c>
    </row>
    <row r="244" spans="6:7" x14ac:dyDescent="0.4">
      <c r="F244">
        <f t="shared" si="6"/>
        <v>0</v>
      </c>
      <c r="G244">
        <f t="shared" si="7"/>
        <v>0</v>
      </c>
    </row>
    <row r="245" spans="6:7" x14ac:dyDescent="0.4">
      <c r="F245">
        <f t="shared" si="6"/>
        <v>0</v>
      </c>
      <c r="G245">
        <f t="shared" si="7"/>
        <v>0</v>
      </c>
    </row>
    <row r="246" spans="6:7" x14ac:dyDescent="0.4">
      <c r="F246">
        <f t="shared" si="6"/>
        <v>0</v>
      </c>
      <c r="G246">
        <f t="shared" si="7"/>
        <v>0</v>
      </c>
    </row>
    <row r="247" spans="6:7" x14ac:dyDescent="0.4">
      <c r="F247">
        <f t="shared" si="6"/>
        <v>0</v>
      </c>
      <c r="G247">
        <f t="shared" si="7"/>
        <v>0</v>
      </c>
    </row>
    <row r="248" spans="6:7" x14ac:dyDescent="0.4">
      <c r="F248">
        <f t="shared" si="6"/>
        <v>0</v>
      </c>
      <c r="G248">
        <f t="shared" si="7"/>
        <v>0</v>
      </c>
    </row>
    <row r="249" spans="6:7" x14ac:dyDescent="0.4">
      <c r="F249">
        <f t="shared" si="6"/>
        <v>0</v>
      </c>
      <c r="G249">
        <f t="shared" si="7"/>
        <v>0</v>
      </c>
    </row>
    <row r="250" spans="6:7" x14ac:dyDescent="0.4">
      <c r="F250">
        <f t="shared" si="6"/>
        <v>0</v>
      </c>
      <c r="G250">
        <f t="shared" si="7"/>
        <v>0</v>
      </c>
    </row>
    <row r="251" spans="6:7" x14ac:dyDescent="0.4">
      <c r="F251">
        <f t="shared" si="6"/>
        <v>0</v>
      </c>
      <c r="G251">
        <f t="shared" si="7"/>
        <v>0</v>
      </c>
    </row>
    <row r="252" spans="6:7" x14ac:dyDescent="0.4">
      <c r="F252">
        <f t="shared" si="6"/>
        <v>0</v>
      </c>
      <c r="G252">
        <f t="shared" si="7"/>
        <v>0</v>
      </c>
    </row>
    <row r="253" spans="6:7" x14ac:dyDescent="0.4">
      <c r="F253">
        <f t="shared" si="6"/>
        <v>0</v>
      </c>
      <c r="G253">
        <f t="shared" si="7"/>
        <v>0</v>
      </c>
    </row>
    <row r="254" spans="6:7" x14ac:dyDescent="0.4">
      <c r="F254">
        <f t="shared" si="6"/>
        <v>0</v>
      </c>
      <c r="G254">
        <f t="shared" si="7"/>
        <v>0</v>
      </c>
    </row>
    <row r="255" spans="6:7" x14ac:dyDescent="0.4">
      <c r="F255">
        <f t="shared" si="6"/>
        <v>0</v>
      </c>
      <c r="G255">
        <f t="shared" si="7"/>
        <v>0</v>
      </c>
    </row>
    <row r="256" spans="6:7" x14ac:dyDescent="0.4">
      <c r="F256">
        <f t="shared" si="6"/>
        <v>0</v>
      </c>
      <c r="G256">
        <f t="shared" si="7"/>
        <v>0</v>
      </c>
    </row>
    <row r="257" spans="6:7" x14ac:dyDescent="0.4">
      <c r="F257">
        <f t="shared" si="6"/>
        <v>0</v>
      </c>
      <c r="G257">
        <f t="shared" si="7"/>
        <v>0</v>
      </c>
    </row>
    <row r="258" spans="6:7" x14ac:dyDescent="0.4">
      <c r="F258">
        <f t="shared" si="6"/>
        <v>0</v>
      </c>
      <c r="G258">
        <f t="shared" si="7"/>
        <v>0</v>
      </c>
    </row>
    <row r="259" spans="6:7" x14ac:dyDescent="0.4">
      <c r="F259">
        <f t="shared" ref="F259:F322" si="8">E259*D259</f>
        <v>0</v>
      </c>
      <c r="G259">
        <f t="shared" ref="G259:G322" si="9">F259-(F259*0.3)</f>
        <v>0</v>
      </c>
    </row>
    <row r="260" spans="6:7" x14ac:dyDescent="0.4">
      <c r="F260">
        <f t="shared" si="8"/>
        <v>0</v>
      </c>
      <c r="G260">
        <f t="shared" si="9"/>
        <v>0</v>
      </c>
    </row>
    <row r="261" spans="6:7" x14ac:dyDescent="0.4">
      <c r="F261">
        <f t="shared" si="8"/>
        <v>0</v>
      </c>
      <c r="G261">
        <f t="shared" si="9"/>
        <v>0</v>
      </c>
    </row>
    <row r="262" spans="6:7" x14ac:dyDescent="0.4">
      <c r="F262">
        <f t="shared" si="8"/>
        <v>0</v>
      </c>
      <c r="G262">
        <f t="shared" si="9"/>
        <v>0</v>
      </c>
    </row>
    <row r="263" spans="6:7" x14ac:dyDescent="0.4">
      <c r="F263">
        <f t="shared" si="8"/>
        <v>0</v>
      </c>
      <c r="G263">
        <f t="shared" si="9"/>
        <v>0</v>
      </c>
    </row>
    <row r="264" spans="6:7" x14ac:dyDescent="0.4">
      <c r="F264">
        <f t="shared" si="8"/>
        <v>0</v>
      </c>
      <c r="G264">
        <f t="shared" si="9"/>
        <v>0</v>
      </c>
    </row>
    <row r="265" spans="6:7" x14ac:dyDescent="0.4">
      <c r="F265">
        <f t="shared" si="8"/>
        <v>0</v>
      </c>
      <c r="G265">
        <f t="shared" si="9"/>
        <v>0</v>
      </c>
    </row>
    <row r="266" spans="6:7" x14ac:dyDescent="0.4">
      <c r="F266">
        <f t="shared" si="8"/>
        <v>0</v>
      </c>
      <c r="G266">
        <f t="shared" si="9"/>
        <v>0</v>
      </c>
    </row>
    <row r="267" spans="6:7" x14ac:dyDescent="0.4">
      <c r="F267">
        <f t="shared" si="8"/>
        <v>0</v>
      </c>
      <c r="G267">
        <f t="shared" si="9"/>
        <v>0</v>
      </c>
    </row>
    <row r="268" spans="6:7" x14ac:dyDescent="0.4">
      <c r="F268">
        <f t="shared" si="8"/>
        <v>0</v>
      </c>
      <c r="G268">
        <f t="shared" si="9"/>
        <v>0</v>
      </c>
    </row>
    <row r="269" spans="6:7" x14ac:dyDescent="0.4">
      <c r="F269">
        <f t="shared" si="8"/>
        <v>0</v>
      </c>
      <c r="G269">
        <f t="shared" si="9"/>
        <v>0</v>
      </c>
    </row>
    <row r="270" spans="6:7" x14ac:dyDescent="0.4">
      <c r="F270">
        <f t="shared" si="8"/>
        <v>0</v>
      </c>
      <c r="G270">
        <f t="shared" si="9"/>
        <v>0</v>
      </c>
    </row>
    <row r="271" spans="6:7" x14ac:dyDescent="0.4">
      <c r="F271">
        <f t="shared" si="8"/>
        <v>0</v>
      </c>
      <c r="G271">
        <f t="shared" si="9"/>
        <v>0</v>
      </c>
    </row>
    <row r="272" spans="6:7" x14ac:dyDescent="0.4">
      <c r="F272">
        <f t="shared" si="8"/>
        <v>0</v>
      </c>
      <c r="G272">
        <f t="shared" si="9"/>
        <v>0</v>
      </c>
    </row>
    <row r="273" spans="6:7" x14ac:dyDescent="0.4">
      <c r="F273">
        <f t="shared" si="8"/>
        <v>0</v>
      </c>
      <c r="G273">
        <f t="shared" si="9"/>
        <v>0</v>
      </c>
    </row>
    <row r="274" spans="6:7" x14ac:dyDescent="0.4">
      <c r="F274">
        <f t="shared" si="8"/>
        <v>0</v>
      </c>
      <c r="G274">
        <f t="shared" si="9"/>
        <v>0</v>
      </c>
    </row>
    <row r="275" spans="6:7" x14ac:dyDescent="0.4">
      <c r="F275">
        <f t="shared" si="8"/>
        <v>0</v>
      </c>
      <c r="G275">
        <f t="shared" si="9"/>
        <v>0</v>
      </c>
    </row>
    <row r="276" spans="6:7" x14ac:dyDescent="0.4">
      <c r="F276">
        <f t="shared" si="8"/>
        <v>0</v>
      </c>
      <c r="G276">
        <f t="shared" si="9"/>
        <v>0</v>
      </c>
    </row>
    <row r="277" spans="6:7" x14ac:dyDescent="0.4">
      <c r="F277">
        <f t="shared" si="8"/>
        <v>0</v>
      </c>
      <c r="G277">
        <f t="shared" si="9"/>
        <v>0</v>
      </c>
    </row>
    <row r="278" spans="6:7" x14ac:dyDescent="0.4">
      <c r="F278">
        <f t="shared" si="8"/>
        <v>0</v>
      </c>
      <c r="G278">
        <f t="shared" si="9"/>
        <v>0</v>
      </c>
    </row>
    <row r="279" spans="6:7" x14ac:dyDescent="0.4">
      <c r="F279">
        <f t="shared" si="8"/>
        <v>0</v>
      </c>
      <c r="G279">
        <f t="shared" si="9"/>
        <v>0</v>
      </c>
    </row>
    <row r="280" spans="6:7" x14ac:dyDescent="0.4">
      <c r="F280">
        <f t="shared" si="8"/>
        <v>0</v>
      </c>
      <c r="G280">
        <f t="shared" si="9"/>
        <v>0</v>
      </c>
    </row>
    <row r="281" spans="6:7" x14ac:dyDescent="0.4">
      <c r="F281">
        <f t="shared" si="8"/>
        <v>0</v>
      </c>
      <c r="G281">
        <f t="shared" si="9"/>
        <v>0</v>
      </c>
    </row>
    <row r="282" spans="6:7" x14ac:dyDescent="0.4">
      <c r="F282">
        <f t="shared" si="8"/>
        <v>0</v>
      </c>
      <c r="G282">
        <f t="shared" si="9"/>
        <v>0</v>
      </c>
    </row>
    <row r="283" spans="6:7" x14ac:dyDescent="0.4">
      <c r="F283">
        <f t="shared" si="8"/>
        <v>0</v>
      </c>
      <c r="G283">
        <f t="shared" si="9"/>
        <v>0</v>
      </c>
    </row>
    <row r="284" spans="6:7" x14ac:dyDescent="0.4">
      <c r="F284">
        <f t="shared" si="8"/>
        <v>0</v>
      </c>
      <c r="G284">
        <f t="shared" si="9"/>
        <v>0</v>
      </c>
    </row>
    <row r="285" spans="6:7" x14ac:dyDescent="0.4">
      <c r="F285">
        <f t="shared" si="8"/>
        <v>0</v>
      </c>
      <c r="G285">
        <f t="shared" si="9"/>
        <v>0</v>
      </c>
    </row>
    <row r="286" spans="6:7" x14ac:dyDescent="0.4">
      <c r="F286">
        <f t="shared" si="8"/>
        <v>0</v>
      </c>
      <c r="G286">
        <f t="shared" si="9"/>
        <v>0</v>
      </c>
    </row>
    <row r="287" spans="6:7" x14ac:dyDescent="0.4">
      <c r="F287">
        <f t="shared" si="8"/>
        <v>0</v>
      </c>
      <c r="G287">
        <f t="shared" si="9"/>
        <v>0</v>
      </c>
    </row>
    <row r="288" spans="6:7" x14ac:dyDescent="0.4">
      <c r="F288">
        <f t="shared" si="8"/>
        <v>0</v>
      </c>
      <c r="G288">
        <f t="shared" si="9"/>
        <v>0</v>
      </c>
    </row>
    <row r="289" spans="6:7" x14ac:dyDescent="0.4">
      <c r="F289">
        <f t="shared" si="8"/>
        <v>0</v>
      </c>
      <c r="G289">
        <f t="shared" si="9"/>
        <v>0</v>
      </c>
    </row>
    <row r="290" spans="6:7" x14ac:dyDescent="0.4">
      <c r="F290">
        <f t="shared" si="8"/>
        <v>0</v>
      </c>
      <c r="G290">
        <f t="shared" si="9"/>
        <v>0</v>
      </c>
    </row>
    <row r="291" spans="6:7" x14ac:dyDescent="0.4">
      <c r="F291">
        <f t="shared" si="8"/>
        <v>0</v>
      </c>
      <c r="G291">
        <f t="shared" si="9"/>
        <v>0</v>
      </c>
    </row>
    <row r="292" spans="6:7" x14ac:dyDescent="0.4">
      <c r="F292">
        <f t="shared" si="8"/>
        <v>0</v>
      </c>
      <c r="G292">
        <f t="shared" si="9"/>
        <v>0</v>
      </c>
    </row>
    <row r="293" spans="6:7" x14ac:dyDescent="0.4">
      <c r="F293">
        <f t="shared" si="8"/>
        <v>0</v>
      </c>
      <c r="G293">
        <f t="shared" si="9"/>
        <v>0</v>
      </c>
    </row>
    <row r="294" spans="6:7" x14ac:dyDescent="0.4">
      <c r="F294">
        <f t="shared" si="8"/>
        <v>0</v>
      </c>
      <c r="G294">
        <f t="shared" si="9"/>
        <v>0</v>
      </c>
    </row>
    <row r="295" spans="6:7" x14ac:dyDescent="0.4">
      <c r="F295">
        <f t="shared" si="8"/>
        <v>0</v>
      </c>
      <c r="G295">
        <f t="shared" si="9"/>
        <v>0</v>
      </c>
    </row>
    <row r="296" spans="6:7" x14ac:dyDescent="0.4">
      <c r="F296">
        <f t="shared" si="8"/>
        <v>0</v>
      </c>
      <c r="G296">
        <f t="shared" si="9"/>
        <v>0</v>
      </c>
    </row>
    <row r="297" spans="6:7" x14ac:dyDescent="0.4">
      <c r="F297">
        <f t="shared" si="8"/>
        <v>0</v>
      </c>
      <c r="G297">
        <f t="shared" si="9"/>
        <v>0</v>
      </c>
    </row>
    <row r="298" spans="6:7" x14ac:dyDescent="0.4">
      <c r="F298">
        <f t="shared" si="8"/>
        <v>0</v>
      </c>
      <c r="G298">
        <f t="shared" si="9"/>
        <v>0</v>
      </c>
    </row>
    <row r="299" spans="6:7" x14ac:dyDescent="0.4">
      <c r="F299">
        <f t="shared" si="8"/>
        <v>0</v>
      </c>
      <c r="G299">
        <f t="shared" si="9"/>
        <v>0</v>
      </c>
    </row>
    <row r="300" spans="6:7" x14ac:dyDescent="0.4">
      <c r="F300">
        <f t="shared" si="8"/>
        <v>0</v>
      </c>
      <c r="G300">
        <f t="shared" si="9"/>
        <v>0</v>
      </c>
    </row>
    <row r="301" spans="6:7" x14ac:dyDescent="0.4">
      <c r="F301">
        <f t="shared" si="8"/>
        <v>0</v>
      </c>
      <c r="G301">
        <f t="shared" si="9"/>
        <v>0</v>
      </c>
    </row>
    <row r="302" spans="6:7" x14ac:dyDescent="0.4">
      <c r="F302">
        <f t="shared" si="8"/>
        <v>0</v>
      </c>
      <c r="G302">
        <f t="shared" si="9"/>
        <v>0</v>
      </c>
    </row>
    <row r="303" spans="6:7" x14ac:dyDescent="0.4">
      <c r="F303">
        <f t="shared" si="8"/>
        <v>0</v>
      </c>
      <c r="G303">
        <f t="shared" si="9"/>
        <v>0</v>
      </c>
    </row>
    <row r="304" spans="6:7" x14ac:dyDescent="0.4">
      <c r="F304">
        <f t="shared" si="8"/>
        <v>0</v>
      </c>
      <c r="G304">
        <f t="shared" si="9"/>
        <v>0</v>
      </c>
    </row>
    <row r="305" spans="6:7" x14ac:dyDescent="0.4">
      <c r="F305">
        <f t="shared" si="8"/>
        <v>0</v>
      </c>
      <c r="G305">
        <f t="shared" si="9"/>
        <v>0</v>
      </c>
    </row>
    <row r="306" spans="6:7" x14ac:dyDescent="0.4">
      <c r="F306">
        <f t="shared" si="8"/>
        <v>0</v>
      </c>
      <c r="G306">
        <f t="shared" si="9"/>
        <v>0</v>
      </c>
    </row>
    <row r="307" spans="6:7" x14ac:dyDescent="0.4">
      <c r="F307">
        <f t="shared" si="8"/>
        <v>0</v>
      </c>
      <c r="G307">
        <f t="shared" si="9"/>
        <v>0</v>
      </c>
    </row>
    <row r="308" spans="6:7" x14ac:dyDescent="0.4">
      <c r="F308">
        <f t="shared" si="8"/>
        <v>0</v>
      </c>
      <c r="G308">
        <f t="shared" si="9"/>
        <v>0</v>
      </c>
    </row>
    <row r="309" spans="6:7" x14ac:dyDescent="0.4">
      <c r="F309">
        <f t="shared" si="8"/>
        <v>0</v>
      </c>
      <c r="G309">
        <f t="shared" si="9"/>
        <v>0</v>
      </c>
    </row>
    <row r="310" spans="6:7" x14ac:dyDescent="0.4">
      <c r="F310">
        <f t="shared" si="8"/>
        <v>0</v>
      </c>
      <c r="G310">
        <f t="shared" si="9"/>
        <v>0</v>
      </c>
    </row>
    <row r="311" spans="6:7" x14ac:dyDescent="0.4">
      <c r="F311">
        <f t="shared" si="8"/>
        <v>0</v>
      </c>
      <c r="G311">
        <f t="shared" si="9"/>
        <v>0</v>
      </c>
    </row>
    <row r="312" spans="6:7" x14ac:dyDescent="0.4">
      <c r="F312">
        <f t="shared" si="8"/>
        <v>0</v>
      </c>
      <c r="G312">
        <f t="shared" si="9"/>
        <v>0</v>
      </c>
    </row>
    <row r="313" spans="6:7" x14ac:dyDescent="0.4">
      <c r="F313">
        <f t="shared" si="8"/>
        <v>0</v>
      </c>
      <c r="G313">
        <f t="shared" si="9"/>
        <v>0</v>
      </c>
    </row>
    <row r="314" spans="6:7" x14ac:dyDescent="0.4">
      <c r="F314">
        <f t="shared" si="8"/>
        <v>0</v>
      </c>
      <c r="G314">
        <f t="shared" si="9"/>
        <v>0</v>
      </c>
    </row>
    <row r="315" spans="6:7" x14ac:dyDescent="0.4">
      <c r="F315">
        <f t="shared" si="8"/>
        <v>0</v>
      </c>
      <c r="G315">
        <f t="shared" si="9"/>
        <v>0</v>
      </c>
    </row>
    <row r="316" spans="6:7" x14ac:dyDescent="0.4">
      <c r="F316">
        <f t="shared" si="8"/>
        <v>0</v>
      </c>
      <c r="G316">
        <f t="shared" si="9"/>
        <v>0</v>
      </c>
    </row>
    <row r="317" spans="6:7" x14ac:dyDescent="0.4">
      <c r="F317">
        <f t="shared" si="8"/>
        <v>0</v>
      </c>
      <c r="G317">
        <f t="shared" si="9"/>
        <v>0</v>
      </c>
    </row>
    <row r="318" spans="6:7" x14ac:dyDescent="0.4">
      <c r="F318">
        <f t="shared" si="8"/>
        <v>0</v>
      </c>
      <c r="G318">
        <f t="shared" si="9"/>
        <v>0</v>
      </c>
    </row>
    <row r="319" spans="6:7" x14ac:dyDescent="0.4">
      <c r="F319">
        <f t="shared" si="8"/>
        <v>0</v>
      </c>
      <c r="G319">
        <f t="shared" si="9"/>
        <v>0</v>
      </c>
    </row>
    <row r="320" spans="6:7" x14ac:dyDescent="0.4">
      <c r="F320">
        <f t="shared" si="8"/>
        <v>0</v>
      </c>
      <c r="G320">
        <f t="shared" si="9"/>
        <v>0</v>
      </c>
    </row>
    <row r="321" spans="6:7" x14ac:dyDescent="0.4">
      <c r="F321">
        <f t="shared" si="8"/>
        <v>0</v>
      </c>
      <c r="G321">
        <f t="shared" si="9"/>
        <v>0</v>
      </c>
    </row>
    <row r="322" spans="6:7" x14ac:dyDescent="0.4">
      <c r="F322">
        <f t="shared" si="8"/>
        <v>0</v>
      </c>
      <c r="G322">
        <f t="shared" si="9"/>
        <v>0</v>
      </c>
    </row>
    <row r="323" spans="6:7" x14ac:dyDescent="0.4">
      <c r="F323">
        <f t="shared" ref="F323:F386" si="10">E323*D323</f>
        <v>0</v>
      </c>
      <c r="G323">
        <f t="shared" ref="G323:G386" si="11">F323-(F323*0.3)</f>
        <v>0</v>
      </c>
    </row>
    <row r="324" spans="6:7" x14ac:dyDescent="0.4">
      <c r="F324">
        <f t="shared" si="10"/>
        <v>0</v>
      </c>
      <c r="G324">
        <f t="shared" si="11"/>
        <v>0</v>
      </c>
    </row>
    <row r="325" spans="6:7" x14ac:dyDescent="0.4">
      <c r="F325">
        <f t="shared" si="10"/>
        <v>0</v>
      </c>
      <c r="G325">
        <f t="shared" si="11"/>
        <v>0</v>
      </c>
    </row>
    <row r="326" spans="6:7" x14ac:dyDescent="0.4">
      <c r="F326">
        <f t="shared" si="10"/>
        <v>0</v>
      </c>
      <c r="G326">
        <f t="shared" si="11"/>
        <v>0</v>
      </c>
    </row>
    <row r="327" spans="6:7" x14ac:dyDescent="0.4">
      <c r="F327">
        <f t="shared" si="10"/>
        <v>0</v>
      </c>
      <c r="G327">
        <f t="shared" si="11"/>
        <v>0</v>
      </c>
    </row>
    <row r="328" spans="6:7" x14ac:dyDescent="0.4">
      <c r="F328">
        <f t="shared" si="10"/>
        <v>0</v>
      </c>
      <c r="G328">
        <f t="shared" si="11"/>
        <v>0</v>
      </c>
    </row>
    <row r="329" spans="6:7" x14ac:dyDescent="0.4">
      <c r="F329">
        <f t="shared" si="10"/>
        <v>0</v>
      </c>
      <c r="G329">
        <f t="shared" si="11"/>
        <v>0</v>
      </c>
    </row>
    <row r="330" spans="6:7" x14ac:dyDescent="0.4">
      <c r="F330">
        <f t="shared" si="10"/>
        <v>0</v>
      </c>
      <c r="G330">
        <f t="shared" si="11"/>
        <v>0</v>
      </c>
    </row>
    <row r="331" spans="6:7" x14ac:dyDescent="0.4">
      <c r="F331">
        <f t="shared" si="10"/>
        <v>0</v>
      </c>
      <c r="G331">
        <f t="shared" si="11"/>
        <v>0</v>
      </c>
    </row>
    <row r="332" spans="6:7" x14ac:dyDescent="0.4">
      <c r="F332">
        <f t="shared" si="10"/>
        <v>0</v>
      </c>
      <c r="G332">
        <f t="shared" si="11"/>
        <v>0</v>
      </c>
    </row>
    <row r="333" spans="6:7" x14ac:dyDescent="0.4">
      <c r="F333">
        <f t="shared" si="10"/>
        <v>0</v>
      </c>
      <c r="G333">
        <f t="shared" si="11"/>
        <v>0</v>
      </c>
    </row>
    <row r="334" spans="6:7" x14ac:dyDescent="0.4">
      <c r="F334">
        <f t="shared" si="10"/>
        <v>0</v>
      </c>
      <c r="G334">
        <f t="shared" si="11"/>
        <v>0</v>
      </c>
    </row>
    <row r="335" spans="6:7" x14ac:dyDescent="0.4">
      <c r="F335">
        <f t="shared" si="10"/>
        <v>0</v>
      </c>
      <c r="G335">
        <f t="shared" si="11"/>
        <v>0</v>
      </c>
    </row>
    <row r="336" spans="6:7" x14ac:dyDescent="0.4">
      <c r="F336">
        <f t="shared" si="10"/>
        <v>0</v>
      </c>
      <c r="G336">
        <f t="shared" si="11"/>
        <v>0</v>
      </c>
    </row>
    <row r="337" spans="6:7" x14ac:dyDescent="0.4">
      <c r="F337">
        <f t="shared" si="10"/>
        <v>0</v>
      </c>
      <c r="G337">
        <f t="shared" si="11"/>
        <v>0</v>
      </c>
    </row>
    <row r="338" spans="6:7" x14ac:dyDescent="0.4">
      <c r="F338">
        <f t="shared" si="10"/>
        <v>0</v>
      </c>
      <c r="G338">
        <f t="shared" si="11"/>
        <v>0</v>
      </c>
    </row>
    <row r="339" spans="6:7" x14ac:dyDescent="0.4">
      <c r="F339">
        <f t="shared" si="10"/>
        <v>0</v>
      </c>
      <c r="G339">
        <f t="shared" si="11"/>
        <v>0</v>
      </c>
    </row>
    <row r="340" spans="6:7" x14ac:dyDescent="0.4">
      <c r="F340">
        <f t="shared" si="10"/>
        <v>0</v>
      </c>
      <c r="G340">
        <f t="shared" si="11"/>
        <v>0</v>
      </c>
    </row>
    <row r="341" spans="6:7" x14ac:dyDescent="0.4">
      <c r="F341">
        <f t="shared" si="10"/>
        <v>0</v>
      </c>
      <c r="G341">
        <f t="shared" si="11"/>
        <v>0</v>
      </c>
    </row>
    <row r="342" spans="6:7" x14ac:dyDescent="0.4">
      <c r="F342">
        <f t="shared" si="10"/>
        <v>0</v>
      </c>
      <c r="G342">
        <f t="shared" si="11"/>
        <v>0</v>
      </c>
    </row>
    <row r="343" spans="6:7" x14ac:dyDescent="0.4">
      <c r="F343">
        <f t="shared" si="10"/>
        <v>0</v>
      </c>
      <c r="G343">
        <f t="shared" si="11"/>
        <v>0</v>
      </c>
    </row>
    <row r="344" spans="6:7" x14ac:dyDescent="0.4">
      <c r="F344">
        <f t="shared" si="10"/>
        <v>0</v>
      </c>
      <c r="G344">
        <f t="shared" si="11"/>
        <v>0</v>
      </c>
    </row>
    <row r="345" spans="6:7" x14ac:dyDescent="0.4">
      <c r="F345">
        <f t="shared" si="10"/>
        <v>0</v>
      </c>
      <c r="G345">
        <f t="shared" si="11"/>
        <v>0</v>
      </c>
    </row>
    <row r="346" spans="6:7" x14ac:dyDescent="0.4">
      <c r="F346">
        <f t="shared" si="10"/>
        <v>0</v>
      </c>
      <c r="G346">
        <f t="shared" si="11"/>
        <v>0</v>
      </c>
    </row>
    <row r="347" spans="6:7" x14ac:dyDescent="0.4">
      <c r="F347">
        <f t="shared" si="10"/>
        <v>0</v>
      </c>
      <c r="G347">
        <f t="shared" si="11"/>
        <v>0</v>
      </c>
    </row>
    <row r="348" spans="6:7" x14ac:dyDescent="0.4">
      <c r="F348">
        <f t="shared" si="10"/>
        <v>0</v>
      </c>
      <c r="G348">
        <f t="shared" si="11"/>
        <v>0</v>
      </c>
    </row>
    <row r="349" spans="6:7" x14ac:dyDescent="0.4">
      <c r="F349">
        <f t="shared" si="10"/>
        <v>0</v>
      </c>
      <c r="G349">
        <f t="shared" si="11"/>
        <v>0</v>
      </c>
    </row>
    <row r="350" spans="6:7" x14ac:dyDescent="0.4">
      <c r="F350">
        <f t="shared" si="10"/>
        <v>0</v>
      </c>
      <c r="G350">
        <f t="shared" si="11"/>
        <v>0</v>
      </c>
    </row>
    <row r="351" spans="6:7" x14ac:dyDescent="0.4">
      <c r="F351">
        <f t="shared" si="10"/>
        <v>0</v>
      </c>
      <c r="G351">
        <f t="shared" si="11"/>
        <v>0</v>
      </c>
    </row>
    <row r="352" spans="6:7" x14ac:dyDescent="0.4">
      <c r="F352">
        <f t="shared" si="10"/>
        <v>0</v>
      </c>
      <c r="G352">
        <f t="shared" si="11"/>
        <v>0</v>
      </c>
    </row>
    <row r="353" spans="6:7" x14ac:dyDescent="0.4">
      <c r="F353">
        <f t="shared" si="10"/>
        <v>0</v>
      </c>
      <c r="G353">
        <f t="shared" si="11"/>
        <v>0</v>
      </c>
    </row>
    <row r="354" spans="6:7" x14ac:dyDescent="0.4">
      <c r="F354">
        <f t="shared" si="10"/>
        <v>0</v>
      </c>
      <c r="G354">
        <f t="shared" si="11"/>
        <v>0</v>
      </c>
    </row>
    <row r="355" spans="6:7" x14ac:dyDescent="0.4">
      <c r="F355">
        <f t="shared" si="10"/>
        <v>0</v>
      </c>
      <c r="G355">
        <f t="shared" si="11"/>
        <v>0</v>
      </c>
    </row>
    <row r="356" spans="6:7" x14ac:dyDescent="0.4">
      <c r="F356">
        <f t="shared" si="10"/>
        <v>0</v>
      </c>
      <c r="G356">
        <f t="shared" si="11"/>
        <v>0</v>
      </c>
    </row>
    <row r="357" spans="6:7" x14ac:dyDescent="0.4">
      <c r="F357">
        <f t="shared" si="10"/>
        <v>0</v>
      </c>
      <c r="G357">
        <f t="shared" si="11"/>
        <v>0</v>
      </c>
    </row>
    <row r="358" spans="6:7" x14ac:dyDescent="0.4">
      <c r="F358">
        <f t="shared" si="10"/>
        <v>0</v>
      </c>
      <c r="G358">
        <f t="shared" si="11"/>
        <v>0</v>
      </c>
    </row>
    <row r="359" spans="6:7" x14ac:dyDescent="0.4">
      <c r="F359">
        <f t="shared" si="10"/>
        <v>0</v>
      </c>
      <c r="G359">
        <f t="shared" si="11"/>
        <v>0</v>
      </c>
    </row>
    <row r="360" spans="6:7" x14ac:dyDescent="0.4">
      <c r="F360">
        <f t="shared" si="10"/>
        <v>0</v>
      </c>
      <c r="G360">
        <f t="shared" si="11"/>
        <v>0</v>
      </c>
    </row>
    <row r="361" spans="6:7" x14ac:dyDescent="0.4">
      <c r="F361">
        <f t="shared" si="10"/>
        <v>0</v>
      </c>
      <c r="G361">
        <f t="shared" si="11"/>
        <v>0</v>
      </c>
    </row>
    <row r="362" spans="6:7" x14ac:dyDescent="0.4">
      <c r="F362">
        <f t="shared" si="10"/>
        <v>0</v>
      </c>
      <c r="G362">
        <f t="shared" si="11"/>
        <v>0</v>
      </c>
    </row>
    <row r="363" spans="6:7" x14ac:dyDescent="0.4">
      <c r="F363">
        <f t="shared" si="10"/>
        <v>0</v>
      </c>
      <c r="G363">
        <f t="shared" si="11"/>
        <v>0</v>
      </c>
    </row>
    <row r="364" spans="6:7" x14ac:dyDescent="0.4">
      <c r="F364">
        <f t="shared" si="10"/>
        <v>0</v>
      </c>
      <c r="G364">
        <f t="shared" si="11"/>
        <v>0</v>
      </c>
    </row>
    <row r="365" spans="6:7" x14ac:dyDescent="0.4">
      <c r="F365">
        <f t="shared" si="10"/>
        <v>0</v>
      </c>
      <c r="G365">
        <f t="shared" si="11"/>
        <v>0</v>
      </c>
    </row>
    <row r="366" spans="6:7" x14ac:dyDescent="0.4">
      <c r="F366">
        <f t="shared" si="10"/>
        <v>0</v>
      </c>
      <c r="G366">
        <f t="shared" si="11"/>
        <v>0</v>
      </c>
    </row>
    <row r="367" spans="6:7" x14ac:dyDescent="0.4">
      <c r="F367">
        <f t="shared" si="10"/>
        <v>0</v>
      </c>
      <c r="G367">
        <f t="shared" si="11"/>
        <v>0</v>
      </c>
    </row>
    <row r="368" spans="6:7" x14ac:dyDescent="0.4">
      <c r="F368">
        <f t="shared" si="10"/>
        <v>0</v>
      </c>
      <c r="G368">
        <f t="shared" si="11"/>
        <v>0</v>
      </c>
    </row>
    <row r="369" spans="6:7" x14ac:dyDescent="0.4">
      <c r="F369">
        <f t="shared" si="10"/>
        <v>0</v>
      </c>
      <c r="G369">
        <f t="shared" si="11"/>
        <v>0</v>
      </c>
    </row>
    <row r="370" spans="6:7" x14ac:dyDescent="0.4">
      <c r="F370">
        <f t="shared" si="10"/>
        <v>0</v>
      </c>
      <c r="G370">
        <f t="shared" si="11"/>
        <v>0</v>
      </c>
    </row>
    <row r="371" spans="6:7" x14ac:dyDescent="0.4">
      <c r="F371">
        <f t="shared" si="10"/>
        <v>0</v>
      </c>
      <c r="G371">
        <f t="shared" si="11"/>
        <v>0</v>
      </c>
    </row>
    <row r="372" spans="6:7" x14ac:dyDescent="0.4">
      <c r="F372">
        <f t="shared" si="10"/>
        <v>0</v>
      </c>
      <c r="G372">
        <f t="shared" si="11"/>
        <v>0</v>
      </c>
    </row>
    <row r="373" spans="6:7" x14ac:dyDescent="0.4">
      <c r="F373">
        <f t="shared" si="10"/>
        <v>0</v>
      </c>
      <c r="G373">
        <f t="shared" si="11"/>
        <v>0</v>
      </c>
    </row>
    <row r="374" spans="6:7" x14ac:dyDescent="0.4">
      <c r="F374">
        <f t="shared" si="10"/>
        <v>0</v>
      </c>
      <c r="G374">
        <f t="shared" si="11"/>
        <v>0</v>
      </c>
    </row>
    <row r="375" spans="6:7" x14ac:dyDescent="0.4">
      <c r="F375">
        <f t="shared" si="10"/>
        <v>0</v>
      </c>
      <c r="G375">
        <f t="shared" si="11"/>
        <v>0</v>
      </c>
    </row>
    <row r="376" spans="6:7" x14ac:dyDescent="0.4">
      <c r="F376">
        <f t="shared" si="10"/>
        <v>0</v>
      </c>
      <c r="G376">
        <f t="shared" si="11"/>
        <v>0</v>
      </c>
    </row>
    <row r="377" spans="6:7" x14ac:dyDescent="0.4">
      <c r="F377">
        <f t="shared" si="10"/>
        <v>0</v>
      </c>
      <c r="G377">
        <f t="shared" si="11"/>
        <v>0</v>
      </c>
    </row>
    <row r="378" spans="6:7" x14ac:dyDescent="0.4">
      <c r="F378">
        <f t="shared" si="10"/>
        <v>0</v>
      </c>
      <c r="G378">
        <f t="shared" si="11"/>
        <v>0</v>
      </c>
    </row>
    <row r="379" spans="6:7" x14ac:dyDescent="0.4">
      <c r="F379">
        <f t="shared" si="10"/>
        <v>0</v>
      </c>
      <c r="G379">
        <f t="shared" si="11"/>
        <v>0</v>
      </c>
    </row>
    <row r="380" spans="6:7" x14ac:dyDescent="0.4">
      <c r="F380">
        <f t="shared" si="10"/>
        <v>0</v>
      </c>
      <c r="G380">
        <f t="shared" si="11"/>
        <v>0</v>
      </c>
    </row>
    <row r="381" spans="6:7" x14ac:dyDescent="0.4">
      <c r="F381">
        <f t="shared" si="10"/>
        <v>0</v>
      </c>
      <c r="G381">
        <f t="shared" si="11"/>
        <v>0</v>
      </c>
    </row>
    <row r="382" spans="6:7" x14ac:dyDescent="0.4">
      <c r="F382">
        <f t="shared" si="10"/>
        <v>0</v>
      </c>
      <c r="G382">
        <f t="shared" si="11"/>
        <v>0</v>
      </c>
    </row>
    <row r="383" spans="6:7" x14ac:dyDescent="0.4">
      <c r="F383">
        <f t="shared" si="10"/>
        <v>0</v>
      </c>
      <c r="G383">
        <f t="shared" si="11"/>
        <v>0</v>
      </c>
    </row>
    <row r="384" spans="6:7" x14ac:dyDescent="0.4">
      <c r="F384">
        <f t="shared" si="10"/>
        <v>0</v>
      </c>
      <c r="G384">
        <f t="shared" si="11"/>
        <v>0</v>
      </c>
    </row>
    <row r="385" spans="6:7" x14ac:dyDescent="0.4">
      <c r="F385">
        <f t="shared" si="10"/>
        <v>0</v>
      </c>
      <c r="G385">
        <f t="shared" si="11"/>
        <v>0</v>
      </c>
    </row>
    <row r="386" spans="6:7" x14ac:dyDescent="0.4">
      <c r="F386">
        <f t="shared" si="10"/>
        <v>0</v>
      </c>
      <c r="G386">
        <f t="shared" si="11"/>
        <v>0</v>
      </c>
    </row>
    <row r="387" spans="6:7" x14ac:dyDescent="0.4">
      <c r="F387">
        <f t="shared" ref="F387:F450" si="12">E387*D387</f>
        <v>0</v>
      </c>
      <c r="G387">
        <f t="shared" ref="G387:G450" si="13">F387-(F387*0.3)</f>
        <v>0</v>
      </c>
    </row>
    <row r="388" spans="6:7" x14ac:dyDescent="0.4">
      <c r="F388">
        <f t="shared" si="12"/>
        <v>0</v>
      </c>
      <c r="G388">
        <f t="shared" si="13"/>
        <v>0</v>
      </c>
    </row>
    <row r="389" spans="6:7" x14ac:dyDescent="0.4">
      <c r="F389">
        <f t="shared" si="12"/>
        <v>0</v>
      </c>
      <c r="G389">
        <f t="shared" si="13"/>
        <v>0</v>
      </c>
    </row>
    <row r="390" spans="6:7" x14ac:dyDescent="0.4">
      <c r="F390">
        <f t="shared" si="12"/>
        <v>0</v>
      </c>
      <c r="G390">
        <f t="shared" si="13"/>
        <v>0</v>
      </c>
    </row>
    <row r="391" spans="6:7" x14ac:dyDescent="0.4">
      <c r="F391">
        <f t="shared" si="12"/>
        <v>0</v>
      </c>
      <c r="G391">
        <f t="shared" si="13"/>
        <v>0</v>
      </c>
    </row>
    <row r="392" spans="6:7" x14ac:dyDescent="0.4">
      <c r="F392">
        <f t="shared" si="12"/>
        <v>0</v>
      </c>
      <c r="G392">
        <f t="shared" si="13"/>
        <v>0</v>
      </c>
    </row>
    <row r="393" spans="6:7" x14ac:dyDescent="0.4">
      <c r="F393">
        <f t="shared" si="12"/>
        <v>0</v>
      </c>
      <c r="G393">
        <f t="shared" si="13"/>
        <v>0</v>
      </c>
    </row>
    <row r="394" spans="6:7" x14ac:dyDescent="0.4">
      <c r="F394">
        <f t="shared" si="12"/>
        <v>0</v>
      </c>
      <c r="G394">
        <f t="shared" si="13"/>
        <v>0</v>
      </c>
    </row>
    <row r="395" spans="6:7" x14ac:dyDescent="0.4">
      <c r="F395">
        <f t="shared" si="12"/>
        <v>0</v>
      </c>
      <c r="G395">
        <f t="shared" si="13"/>
        <v>0</v>
      </c>
    </row>
    <row r="396" spans="6:7" x14ac:dyDescent="0.4">
      <c r="F396">
        <f t="shared" si="12"/>
        <v>0</v>
      </c>
      <c r="G396">
        <f t="shared" si="13"/>
        <v>0</v>
      </c>
    </row>
    <row r="397" spans="6:7" x14ac:dyDescent="0.4">
      <c r="F397">
        <f t="shared" si="12"/>
        <v>0</v>
      </c>
      <c r="G397">
        <f t="shared" si="13"/>
        <v>0</v>
      </c>
    </row>
    <row r="398" spans="6:7" x14ac:dyDescent="0.4">
      <c r="F398">
        <f t="shared" si="12"/>
        <v>0</v>
      </c>
      <c r="G398">
        <f t="shared" si="13"/>
        <v>0</v>
      </c>
    </row>
    <row r="399" spans="6:7" x14ac:dyDescent="0.4">
      <c r="F399">
        <f t="shared" si="12"/>
        <v>0</v>
      </c>
      <c r="G399">
        <f t="shared" si="13"/>
        <v>0</v>
      </c>
    </row>
    <row r="400" spans="6:7" x14ac:dyDescent="0.4">
      <c r="F400">
        <f t="shared" si="12"/>
        <v>0</v>
      </c>
      <c r="G400">
        <f t="shared" si="13"/>
        <v>0</v>
      </c>
    </row>
    <row r="401" spans="6:7" x14ac:dyDescent="0.4">
      <c r="F401">
        <f t="shared" si="12"/>
        <v>0</v>
      </c>
      <c r="G401">
        <f t="shared" si="13"/>
        <v>0</v>
      </c>
    </row>
    <row r="402" spans="6:7" x14ac:dyDescent="0.4">
      <c r="F402">
        <f t="shared" si="12"/>
        <v>0</v>
      </c>
      <c r="G402">
        <f t="shared" si="13"/>
        <v>0</v>
      </c>
    </row>
    <row r="403" spans="6:7" x14ac:dyDescent="0.4">
      <c r="F403">
        <f t="shared" si="12"/>
        <v>0</v>
      </c>
      <c r="G403">
        <f t="shared" si="13"/>
        <v>0</v>
      </c>
    </row>
    <row r="404" spans="6:7" x14ac:dyDescent="0.4">
      <c r="F404">
        <f t="shared" si="12"/>
        <v>0</v>
      </c>
      <c r="G404">
        <f t="shared" si="13"/>
        <v>0</v>
      </c>
    </row>
    <row r="405" spans="6:7" x14ac:dyDescent="0.4">
      <c r="F405">
        <f t="shared" si="12"/>
        <v>0</v>
      </c>
      <c r="G405">
        <f t="shared" si="13"/>
        <v>0</v>
      </c>
    </row>
    <row r="406" spans="6:7" x14ac:dyDescent="0.4">
      <c r="F406">
        <f t="shared" si="12"/>
        <v>0</v>
      </c>
      <c r="G406">
        <f t="shared" si="13"/>
        <v>0</v>
      </c>
    </row>
    <row r="407" spans="6:7" x14ac:dyDescent="0.4">
      <c r="F407">
        <f t="shared" si="12"/>
        <v>0</v>
      </c>
      <c r="G407">
        <f t="shared" si="13"/>
        <v>0</v>
      </c>
    </row>
    <row r="408" spans="6:7" x14ac:dyDescent="0.4">
      <c r="F408">
        <f t="shared" si="12"/>
        <v>0</v>
      </c>
      <c r="G408">
        <f t="shared" si="13"/>
        <v>0</v>
      </c>
    </row>
    <row r="409" spans="6:7" x14ac:dyDescent="0.4">
      <c r="F409">
        <f t="shared" si="12"/>
        <v>0</v>
      </c>
      <c r="G409">
        <f t="shared" si="13"/>
        <v>0</v>
      </c>
    </row>
    <row r="410" spans="6:7" x14ac:dyDescent="0.4">
      <c r="F410">
        <f t="shared" si="12"/>
        <v>0</v>
      </c>
      <c r="G410">
        <f t="shared" si="13"/>
        <v>0</v>
      </c>
    </row>
    <row r="411" spans="6:7" x14ac:dyDescent="0.4">
      <c r="F411">
        <f t="shared" si="12"/>
        <v>0</v>
      </c>
      <c r="G411">
        <f t="shared" si="13"/>
        <v>0</v>
      </c>
    </row>
    <row r="412" spans="6:7" x14ac:dyDescent="0.4">
      <c r="F412">
        <f t="shared" si="12"/>
        <v>0</v>
      </c>
      <c r="G412">
        <f t="shared" si="13"/>
        <v>0</v>
      </c>
    </row>
    <row r="413" spans="6:7" x14ac:dyDescent="0.4">
      <c r="F413">
        <f t="shared" si="12"/>
        <v>0</v>
      </c>
      <c r="G413">
        <f t="shared" si="13"/>
        <v>0</v>
      </c>
    </row>
    <row r="414" spans="6:7" x14ac:dyDescent="0.4">
      <c r="F414">
        <f t="shared" si="12"/>
        <v>0</v>
      </c>
      <c r="G414">
        <f t="shared" si="13"/>
        <v>0</v>
      </c>
    </row>
    <row r="415" spans="6:7" x14ac:dyDescent="0.4">
      <c r="F415">
        <f t="shared" si="12"/>
        <v>0</v>
      </c>
      <c r="G415">
        <f t="shared" si="13"/>
        <v>0</v>
      </c>
    </row>
    <row r="416" spans="6:7" x14ac:dyDescent="0.4">
      <c r="F416">
        <f t="shared" si="12"/>
        <v>0</v>
      </c>
      <c r="G416">
        <f t="shared" si="13"/>
        <v>0</v>
      </c>
    </row>
    <row r="417" spans="6:7" x14ac:dyDescent="0.4">
      <c r="F417">
        <f t="shared" si="12"/>
        <v>0</v>
      </c>
      <c r="G417">
        <f t="shared" si="13"/>
        <v>0</v>
      </c>
    </row>
    <row r="418" spans="6:7" x14ac:dyDescent="0.4">
      <c r="F418">
        <f t="shared" si="12"/>
        <v>0</v>
      </c>
      <c r="G418">
        <f t="shared" si="13"/>
        <v>0</v>
      </c>
    </row>
    <row r="419" spans="6:7" x14ac:dyDescent="0.4">
      <c r="F419">
        <f t="shared" si="12"/>
        <v>0</v>
      </c>
      <c r="G419">
        <f t="shared" si="13"/>
        <v>0</v>
      </c>
    </row>
    <row r="420" spans="6:7" x14ac:dyDescent="0.4">
      <c r="F420">
        <f t="shared" si="12"/>
        <v>0</v>
      </c>
      <c r="G420">
        <f t="shared" si="13"/>
        <v>0</v>
      </c>
    </row>
    <row r="421" spans="6:7" x14ac:dyDescent="0.4">
      <c r="F421">
        <f t="shared" si="12"/>
        <v>0</v>
      </c>
      <c r="G421">
        <f t="shared" si="13"/>
        <v>0</v>
      </c>
    </row>
    <row r="422" spans="6:7" x14ac:dyDescent="0.4">
      <c r="F422">
        <f t="shared" si="12"/>
        <v>0</v>
      </c>
      <c r="G422">
        <f t="shared" si="13"/>
        <v>0</v>
      </c>
    </row>
    <row r="423" spans="6:7" x14ac:dyDescent="0.4">
      <c r="F423">
        <f t="shared" si="12"/>
        <v>0</v>
      </c>
      <c r="G423">
        <f t="shared" si="13"/>
        <v>0</v>
      </c>
    </row>
    <row r="424" spans="6:7" x14ac:dyDescent="0.4">
      <c r="F424">
        <f t="shared" si="12"/>
        <v>0</v>
      </c>
      <c r="G424">
        <f t="shared" si="13"/>
        <v>0</v>
      </c>
    </row>
    <row r="425" spans="6:7" x14ac:dyDescent="0.4">
      <c r="F425">
        <f t="shared" si="12"/>
        <v>0</v>
      </c>
      <c r="G425">
        <f t="shared" si="13"/>
        <v>0</v>
      </c>
    </row>
    <row r="426" spans="6:7" x14ac:dyDescent="0.4">
      <c r="F426">
        <f t="shared" si="12"/>
        <v>0</v>
      </c>
      <c r="G426">
        <f t="shared" si="13"/>
        <v>0</v>
      </c>
    </row>
    <row r="427" spans="6:7" x14ac:dyDescent="0.4">
      <c r="F427">
        <f t="shared" si="12"/>
        <v>0</v>
      </c>
      <c r="G427">
        <f t="shared" si="13"/>
        <v>0</v>
      </c>
    </row>
    <row r="428" spans="6:7" x14ac:dyDescent="0.4">
      <c r="F428">
        <f t="shared" si="12"/>
        <v>0</v>
      </c>
      <c r="G428">
        <f t="shared" si="13"/>
        <v>0</v>
      </c>
    </row>
    <row r="429" spans="6:7" x14ac:dyDescent="0.4">
      <c r="F429">
        <f t="shared" si="12"/>
        <v>0</v>
      </c>
      <c r="G429">
        <f t="shared" si="13"/>
        <v>0</v>
      </c>
    </row>
    <row r="430" spans="6:7" x14ac:dyDescent="0.4">
      <c r="F430">
        <f t="shared" si="12"/>
        <v>0</v>
      </c>
      <c r="G430">
        <f t="shared" si="13"/>
        <v>0</v>
      </c>
    </row>
    <row r="431" spans="6:7" x14ac:dyDescent="0.4">
      <c r="F431">
        <f t="shared" si="12"/>
        <v>0</v>
      </c>
      <c r="G431">
        <f t="shared" si="13"/>
        <v>0</v>
      </c>
    </row>
    <row r="432" spans="6:7" x14ac:dyDescent="0.4">
      <c r="F432">
        <f t="shared" si="12"/>
        <v>0</v>
      </c>
      <c r="G432">
        <f t="shared" si="13"/>
        <v>0</v>
      </c>
    </row>
    <row r="433" spans="6:7" x14ac:dyDescent="0.4">
      <c r="F433">
        <f t="shared" si="12"/>
        <v>0</v>
      </c>
      <c r="G433">
        <f t="shared" si="13"/>
        <v>0</v>
      </c>
    </row>
    <row r="434" spans="6:7" x14ac:dyDescent="0.4">
      <c r="F434">
        <f t="shared" si="12"/>
        <v>0</v>
      </c>
      <c r="G434">
        <f t="shared" si="13"/>
        <v>0</v>
      </c>
    </row>
    <row r="435" spans="6:7" x14ac:dyDescent="0.4">
      <c r="F435">
        <f t="shared" si="12"/>
        <v>0</v>
      </c>
      <c r="G435">
        <f t="shared" si="13"/>
        <v>0</v>
      </c>
    </row>
    <row r="436" spans="6:7" x14ac:dyDescent="0.4">
      <c r="F436">
        <f t="shared" si="12"/>
        <v>0</v>
      </c>
      <c r="G436">
        <f t="shared" si="13"/>
        <v>0</v>
      </c>
    </row>
    <row r="437" spans="6:7" x14ac:dyDescent="0.4">
      <c r="F437">
        <f t="shared" si="12"/>
        <v>0</v>
      </c>
      <c r="G437">
        <f t="shared" si="13"/>
        <v>0</v>
      </c>
    </row>
    <row r="438" spans="6:7" x14ac:dyDescent="0.4">
      <c r="F438">
        <f t="shared" si="12"/>
        <v>0</v>
      </c>
      <c r="G438">
        <f t="shared" si="13"/>
        <v>0</v>
      </c>
    </row>
    <row r="439" spans="6:7" x14ac:dyDescent="0.4">
      <c r="F439">
        <f t="shared" si="12"/>
        <v>0</v>
      </c>
      <c r="G439">
        <f t="shared" si="13"/>
        <v>0</v>
      </c>
    </row>
    <row r="440" spans="6:7" x14ac:dyDescent="0.4">
      <c r="F440">
        <f t="shared" si="12"/>
        <v>0</v>
      </c>
      <c r="G440">
        <f t="shared" si="13"/>
        <v>0</v>
      </c>
    </row>
    <row r="441" spans="6:7" x14ac:dyDescent="0.4">
      <c r="F441">
        <f t="shared" si="12"/>
        <v>0</v>
      </c>
      <c r="G441">
        <f t="shared" si="13"/>
        <v>0</v>
      </c>
    </row>
    <row r="442" spans="6:7" x14ac:dyDescent="0.4">
      <c r="F442">
        <f t="shared" si="12"/>
        <v>0</v>
      </c>
      <c r="G442">
        <f t="shared" si="13"/>
        <v>0</v>
      </c>
    </row>
    <row r="443" spans="6:7" x14ac:dyDescent="0.4">
      <c r="F443">
        <f t="shared" si="12"/>
        <v>0</v>
      </c>
      <c r="G443">
        <f t="shared" si="13"/>
        <v>0</v>
      </c>
    </row>
    <row r="444" spans="6:7" x14ac:dyDescent="0.4">
      <c r="F444">
        <f t="shared" si="12"/>
        <v>0</v>
      </c>
      <c r="G444">
        <f t="shared" si="13"/>
        <v>0</v>
      </c>
    </row>
    <row r="445" spans="6:7" x14ac:dyDescent="0.4">
      <c r="F445">
        <f t="shared" si="12"/>
        <v>0</v>
      </c>
      <c r="G445">
        <f t="shared" si="13"/>
        <v>0</v>
      </c>
    </row>
    <row r="446" spans="6:7" x14ac:dyDescent="0.4">
      <c r="F446">
        <f t="shared" si="12"/>
        <v>0</v>
      </c>
      <c r="G446">
        <f t="shared" si="13"/>
        <v>0</v>
      </c>
    </row>
    <row r="447" spans="6:7" x14ac:dyDescent="0.4">
      <c r="F447">
        <f t="shared" si="12"/>
        <v>0</v>
      </c>
      <c r="G447">
        <f t="shared" si="13"/>
        <v>0</v>
      </c>
    </row>
    <row r="448" spans="6:7" x14ac:dyDescent="0.4">
      <c r="F448">
        <f t="shared" si="12"/>
        <v>0</v>
      </c>
      <c r="G448">
        <f t="shared" si="13"/>
        <v>0</v>
      </c>
    </row>
    <row r="449" spans="6:7" x14ac:dyDescent="0.4">
      <c r="F449">
        <f t="shared" si="12"/>
        <v>0</v>
      </c>
      <c r="G449">
        <f t="shared" si="13"/>
        <v>0</v>
      </c>
    </row>
    <row r="450" spans="6:7" x14ac:dyDescent="0.4">
      <c r="F450">
        <f t="shared" si="12"/>
        <v>0</v>
      </c>
      <c r="G450">
        <f t="shared" si="13"/>
        <v>0</v>
      </c>
    </row>
    <row r="451" spans="6:7" x14ac:dyDescent="0.4">
      <c r="F451">
        <f t="shared" ref="F451:F514" si="14">E451*D451</f>
        <v>0</v>
      </c>
      <c r="G451">
        <f t="shared" ref="G451:G514" si="15">F451-(F451*0.3)</f>
        <v>0</v>
      </c>
    </row>
    <row r="452" spans="6:7" x14ac:dyDescent="0.4">
      <c r="F452">
        <f t="shared" si="14"/>
        <v>0</v>
      </c>
      <c r="G452">
        <f t="shared" si="15"/>
        <v>0</v>
      </c>
    </row>
    <row r="453" spans="6:7" x14ac:dyDescent="0.4">
      <c r="F453">
        <f t="shared" si="14"/>
        <v>0</v>
      </c>
      <c r="G453">
        <f t="shared" si="15"/>
        <v>0</v>
      </c>
    </row>
    <row r="454" spans="6:7" x14ac:dyDescent="0.4">
      <c r="F454">
        <f t="shared" si="14"/>
        <v>0</v>
      </c>
      <c r="G454">
        <f t="shared" si="15"/>
        <v>0</v>
      </c>
    </row>
    <row r="455" spans="6:7" x14ac:dyDescent="0.4">
      <c r="F455">
        <f t="shared" si="14"/>
        <v>0</v>
      </c>
      <c r="G455">
        <f t="shared" si="15"/>
        <v>0</v>
      </c>
    </row>
    <row r="456" spans="6:7" x14ac:dyDescent="0.4">
      <c r="F456">
        <f t="shared" si="14"/>
        <v>0</v>
      </c>
      <c r="G456">
        <f t="shared" si="15"/>
        <v>0</v>
      </c>
    </row>
    <row r="457" spans="6:7" x14ac:dyDescent="0.4">
      <c r="F457">
        <f t="shared" si="14"/>
        <v>0</v>
      </c>
      <c r="G457">
        <f t="shared" si="15"/>
        <v>0</v>
      </c>
    </row>
    <row r="458" spans="6:7" x14ac:dyDescent="0.4">
      <c r="F458">
        <f t="shared" si="14"/>
        <v>0</v>
      </c>
      <c r="G458">
        <f t="shared" si="15"/>
        <v>0</v>
      </c>
    </row>
    <row r="459" spans="6:7" x14ac:dyDescent="0.4">
      <c r="F459">
        <f t="shared" si="14"/>
        <v>0</v>
      </c>
      <c r="G459">
        <f t="shared" si="15"/>
        <v>0</v>
      </c>
    </row>
    <row r="460" spans="6:7" x14ac:dyDescent="0.4">
      <c r="F460">
        <f t="shared" si="14"/>
        <v>0</v>
      </c>
      <c r="G460">
        <f t="shared" si="15"/>
        <v>0</v>
      </c>
    </row>
    <row r="461" spans="6:7" x14ac:dyDescent="0.4">
      <c r="F461">
        <f t="shared" si="14"/>
        <v>0</v>
      </c>
      <c r="G461">
        <f t="shared" si="15"/>
        <v>0</v>
      </c>
    </row>
    <row r="462" spans="6:7" x14ac:dyDescent="0.4">
      <c r="F462">
        <f t="shared" si="14"/>
        <v>0</v>
      </c>
      <c r="G462">
        <f t="shared" si="15"/>
        <v>0</v>
      </c>
    </row>
    <row r="463" spans="6:7" x14ac:dyDescent="0.4">
      <c r="F463">
        <f t="shared" si="14"/>
        <v>0</v>
      </c>
      <c r="G463">
        <f t="shared" si="15"/>
        <v>0</v>
      </c>
    </row>
    <row r="464" spans="6:7" x14ac:dyDescent="0.4">
      <c r="F464">
        <f t="shared" si="14"/>
        <v>0</v>
      </c>
      <c r="G464">
        <f t="shared" si="15"/>
        <v>0</v>
      </c>
    </row>
    <row r="465" spans="6:7" x14ac:dyDescent="0.4">
      <c r="F465">
        <f t="shared" si="14"/>
        <v>0</v>
      </c>
      <c r="G465">
        <f t="shared" si="15"/>
        <v>0</v>
      </c>
    </row>
    <row r="466" spans="6:7" x14ac:dyDescent="0.4">
      <c r="F466">
        <f t="shared" si="14"/>
        <v>0</v>
      </c>
      <c r="G466">
        <f t="shared" si="15"/>
        <v>0</v>
      </c>
    </row>
    <row r="467" spans="6:7" x14ac:dyDescent="0.4">
      <c r="F467">
        <f t="shared" si="14"/>
        <v>0</v>
      </c>
      <c r="G467">
        <f t="shared" si="15"/>
        <v>0</v>
      </c>
    </row>
    <row r="468" spans="6:7" x14ac:dyDescent="0.4">
      <c r="F468">
        <f t="shared" si="14"/>
        <v>0</v>
      </c>
      <c r="G468">
        <f t="shared" si="15"/>
        <v>0</v>
      </c>
    </row>
    <row r="469" spans="6:7" x14ac:dyDescent="0.4">
      <c r="F469">
        <f t="shared" si="14"/>
        <v>0</v>
      </c>
      <c r="G469">
        <f t="shared" si="15"/>
        <v>0</v>
      </c>
    </row>
    <row r="470" spans="6:7" x14ac:dyDescent="0.4">
      <c r="F470">
        <f t="shared" si="14"/>
        <v>0</v>
      </c>
      <c r="G470">
        <f t="shared" si="15"/>
        <v>0</v>
      </c>
    </row>
    <row r="471" spans="6:7" x14ac:dyDescent="0.4">
      <c r="F471">
        <f t="shared" si="14"/>
        <v>0</v>
      </c>
      <c r="G471">
        <f t="shared" si="15"/>
        <v>0</v>
      </c>
    </row>
    <row r="472" spans="6:7" x14ac:dyDescent="0.4">
      <c r="F472">
        <f t="shared" si="14"/>
        <v>0</v>
      </c>
      <c r="G472">
        <f t="shared" si="15"/>
        <v>0</v>
      </c>
    </row>
    <row r="473" spans="6:7" x14ac:dyDescent="0.4">
      <c r="F473">
        <f t="shared" si="14"/>
        <v>0</v>
      </c>
      <c r="G473">
        <f t="shared" si="15"/>
        <v>0</v>
      </c>
    </row>
    <row r="474" spans="6:7" x14ac:dyDescent="0.4">
      <c r="F474">
        <f t="shared" si="14"/>
        <v>0</v>
      </c>
      <c r="G474">
        <f t="shared" si="15"/>
        <v>0</v>
      </c>
    </row>
    <row r="475" spans="6:7" x14ac:dyDescent="0.4">
      <c r="F475">
        <f t="shared" si="14"/>
        <v>0</v>
      </c>
      <c r="G475">
        <f t="shared" si="15"/>
        <v>0</v>
      </c>
    </row>
    <row r="476" spans="6:7" x14ac:dyDescent="0.4">
      <c r="F476">
        <f t="shared" si="14"/>
        <v>0</v>
      </c>
      <c r="G476">
        <f t="shared" si="15"/>
        <v>0</v>
      </c>
    </row>
    <row r="477" spans="6:7" x14ac:dyDescent="0.4">
      <c r="F477">
        <f t="shared" si="14"/>
        <v>0</v>
      </c>
      <c r="G477">
        <f t="shared" si="15"/>
        <v>0</v>
      </c>
    </row>
    <row r="478" spans="6:7" x14ac:dyDescent="0.4">
      <c r="F478">
        <f t="shared" si="14"/>
        <v>0</v>
      </c>
      <c r="G478">
        <f t="shared" si="15"/>
        <v>0</v>
      </c>
    </row>
    <row r="479" spans="6:7" x14ac:dyDescent="0.4">
      <c r="F479">
        <f t="shared" si="14"/>
        <v>0</v>
      </c>
      <c r="G479">
        <f t="shared" si="15"/>
        <v>0</v>
      </c>
    </row>
    <row r="480" spans="6:7" x14ac:dyDescent="0.4">
      <c r="F480">
        <f t="shared" si="14"/>
        <v>0</v>
      </c>
      <c r="G480">
        <f t="shared" si="15"/>
        <v>0</v>
      </c>
    </row>
    <row r="481" spans="6:7" x14ac:dyDescent="0.4">
      <c r="F481">
        <f t="shared" si="14"/>
        <v>0</v>
      </c>
      <c r="G481">
        <f t="shared" si="15"/>
        <v>0</v>
      </c>
    </row>
    <row r="482" spans="6:7" x14ac:dyDescent="0.4">
      <c r="F482">
        <f t="shared" si="14"/>
        <v>0</v>
      </c>
      <c r="G482">
        <f t="shared" si="15"/>
        <v>0</v>
      </c>
    </row>
    <row r="483" spans="6:7" x14ac:dyDescent="0.4">
      <c r="F483">
        <f t="shared" si="14"/>
        <v>0</v>
      </c>
      <c r="G483">
        <f t="shared" si="15"/>
        <v>0</v>
      </c>
    </row>
    <row r="484" spans="6:7" x14ac:dyDescent="0.4">
      <c r="F484">
        <f t="shared" si="14"/>
        <v>0</v>
      </c>
      <c r="G484">
        <f t="shared" si="15"/>
        <v>0</v>
      </c>
    </row>
    <row r="485" spans="6:7" x14ac:dyDescent="0.4">
      <c r="F485">
        <f t="shared" si="14"/>
        <v>0</v>
      </c>
      <c r="G485">
        <f t="shared" si="15"/>
        <v>0</v>
      </c>
    </row>
    <row r="486" spans="6:7" x14ac:dyDescent="0.4">
      <c r="F486">
        <f t="shared" si="14"/>
        <v>0</v>
      </c>
      <c r="G486">
        <f t="shared" si="15"/>
        <v>0</v>
      </c>
    </row>
    <row r="487" spans="6:7" x14ac:dyDescent="0.4">
      <c r="F487">
        <f t="shared" si="14"/>
        <v>0</v>
      </c>
      <c r="G487">
        <f t="shared" si="15"/>
        <v>0</v>
      </c>
    </row>
    <row r="488" spans="6:7" x14ac:dyDescent="0.4">
      <c r="F488">
        <f t="shared" si="14"/>
        <v>0</v>
      </c>
      <c r="G488">
        <f t="shared" si="15"/>
        <v>0</v>
      </c>
    </row>
    <row r="489" spans="6:7" x14ac:dyDescent="0.4">
      <c r="F489">
        <f t="shared" si="14"/>
        <v>0</v>
      </c>
      <c r="G489">
        <f t="shared" si="15"/>
        <v>0</v>
      </c>
    </row>
    <row r="490" spans="6:7" x14ac:dyDescent="0.4">
      <c r="F490">
        <f t="shared" si="14"/>
        <v>0</v>
      </c>
      <c r="G490">
        <f t="shared" si="15"/>
        <v>0</v>
      </c>
    </row>
    <row r="491" spans="6:7" x14ac:dyDescent="0.4">
      <c r="F491">
        <f t="shared" si="14"/>
        <v>0</v>
      </c>
      <c r="G491">
        <f t="shared" si="15"/>
        <v>0</v>
      </c>
    </row>
    <row r="492" spans="6:7" x14ac:dyDescent="0.4">
      <c r="F492">
        <f t="shared" si="14"/>
        <v>0</v>
      </c>
      <c r="G492">
        <f t="shared" si="15"/>
        <v>0</v>
      </c>
    </row>
    <row r="493" spans="6:7" x14ac:dyDescent="0.4">
      <c r="F493">
        <f t="shared" si="14"/>
        <v>0</v>
      </c>
      <c r="G493">
        <f t="shared" si="15"/>
        <v>0</v>
      </c>
    </row>
    <row r="494" spans="6:7" x14ac:dyDescent="0.4">
      <c r="F494">
        <f t="shared" si="14"/>
        <v>0</v>
      </c>
      <c r="G494">
        <f t="shared" si="15"/>
        <v>0</v>
      </c>
    </row>
    <row r="495" spans="6:7" x14ac:dyDescent="0.4">
      <c r="F495">
        <f t="shared" si="14"/>
        <v>0</v>
      </c>
      <c r="G495">
        <f t="shared" si="15"/>
        <v>0</v>
      </c>
    </row>
    <row r="496" spans="6:7" x14ac:dyDescent="0.4">
      <c r="F496">
        <f t="shared" si="14"/>
        <v>0</v>
      </c>
      <c r="G496">
        <f t="shared" si="15"/>
        <v>0</v>
      </c>
    </row>
    <row r="497" spans="6:7" x14ac:dyDescent="0.4">
      <c r="F497">
        <f t="shared" si="14"/>
        <v>0</v>
      </c>
      <c r="G497">
        <f t="shared" si="15"/>
        <v>0</v>
      </c>
    </row>
    <row r="498" spans="6:7" x14ac:dyDescent="0.4">
      <c r="F498">
        <f t="shared" si="14"/>
        <v>0</v>
      </c>
      <c r="G498">
        <f t="shared" si="15"/>
        <v>0</v>
      </c>
    </row>
    <row r="499" spans="6:7" x14ac:dyDescent="0.4">
      <c r="F499">
        <f t="shared" si="14"/>
        <v>0</v>
      </c>
      <c r="G499">
        <f t="shared" si="15"/>
        <v>0</v>
      </c>
    </row>
    <row r="500" spans="6:7" x14ac:dyDescent="0.4">
      <c r="F500">
        <f t="shared" si="14"/>
        <v>0</v>
      </c>
      <c r="G500">
        <f t="shared" si="15"/>
        <v>0</v>
      </c>
    </row>
    <row r="501" spans="6:7" x14ac:dyDescent="0.4">
      <c r="F501">
        <f t="shared" si="14"/>
        <v>0</v>
      </c>
      <c r="G501">
        <f t="shared" si="15"/>
        <v>0</v>
      </c>
    </row>
    <row r="502" spans="6:7" x14ac:dyDescent="0.4">
      <c r="F502">
        <f t="shared" si="14"/>
        <v>0</v>
      </c>
      <c r="G502">
        <f t="shared" si="15"/>
        <v>0</v>
      </c>
    </row>
    <row r="503" spans="6:7" x14ac:dyDescent="0.4">
      <c r="F503">
        <f t="shared" si="14"/>
        <v>0</v>
      </c>
      <c r="G503">
        <f t="shared" si="15"/>
        <v>0</v>
      </c>
    </row>
    <row r="504" spans="6:7" x14ac:dyDescent="0.4">
      <c r="F504">
        <f t="shared" si="14"/>
        <v>0</v>
      </c>
      <c r="G504">
        <f t="shared" si="15"/>
        <v>0</v>
      </c>
    </row>
    <row r="505" spans="6:7" x14ac:dyDescent="0.4">
      <c r="F505">
        <f t="shared" si="14"/>
        <v>0</v>
      </c>
      <c r="G505">
        <f t="shared" si="15"/>
        <v>0</v>
      </c>
    </row>
    <row r="506" spans="6:7" x14ac:dyDescent="0.4">
      <c r="F506">
        <f t="shared" si="14"/>
        <v>0</v>
      </c>
      <c r="G506">
        <f t="shared" si="15"/>
        <v>0</v>
      </c>
    </row>
    <row r="507" spans="6:7" x14ac:dyDescent="0.4">
      <c r="F507">
        <f t="shared" si="14"/>
        <v>0</v>
      </c>
      <c r="G507">
        <f t="shared" si="15"/>
        <v>0</v>
      </c>
    </row>
    <row r="508" spans="6:7" x14ac:dyDescent="0.4">
      <c r="F508">
        <f t="shared" si="14"/>
        <v>0</v>
      </c>
      <c r="G508">
        <f t="shared" si="15"/>
        <v>0</v>
      </c>
    </row>
    <row r="509" spans="6:7" x14ac:dyDescent="0.4">
      <c r="F509">
        <f t="shared" si="14"/>
        <v>0</v>
      </c>
      <c r="G509">
        <f t="shared" si="15"/>
        <v>0</v>
      </c>
    </row>
    <row r="510" spans="6:7" x14ac:dyDescent="0.4">
      <c r="F510">
        <f t="shared" si="14"/>
        <v>0</v>
      </c>
      <c r="G510">
        <f t="shared" si="15"/>
        <v>0</v>
      </c>
    </row>
    <row r="511" spans="6:7" x14ac:dyDescent="0.4">
      <c r="F511">
        <f t="shared" si="14"/>
        <v>0</v>
      </c>
      <c r="G511">
        <f t="shared" si="15"/>
        <v>0</v>
      </c>
    </row>
    <row r="512" spans="6:7" x14ac:dyDescent="0.4">
      <c r="F512">
        <f t="shared" si="14"/>
        <v>0</v>
      </c>
      <c r="G512">
        <f t="shared" si="15"/>
        <v>0</v>
      </c>
    </row>
    <row r="513" spans="6:7" x14ac:dyDescent="0.4">
      <c r="F513">
        <f t="shared" si="14"/>
        <v>0</v>
      </c>
      <c r="G513">
        <f t="shared" si="15"/>
        <v>0</v>
      </c>
    </row>
    <row r="514" spans="6:7" x14ac:dyDescent="0.4">
      <c r="F514">
        <f t="shared" si="14"/>
        <v>0</v>
      </c>
      <c r="G514">
        <f t="shared" si="15"/>
        <v>0</v>
      </c>
    </row>
    <row r="515" spans="6:7" x14ac:dyDescent="0.4">
      <c r="F515">
        <f t="shared" ref="F515:F578" si="16">E515*D515</f>
        <v>0</v>
      </c>
      <c r="G515">
        <f t="shared" ref="G515:G578" si="17">F515-(F515*0.3)</f>
        <v>0</v>
      </c>
    </row>
    <row r="516" spans="6:7" x14ac:dyDescent="0.4">
      <c r="F516">
        <f t="shared" si="16"/>
        <v>0</v>
      </c>
      <c r="G516">
        <f t="shared" si="17"/>
        <v>0</v>
      </c>
    </row>
    <row r="517" spans="6:7" x14ac:dyDescent="0.4">
      <c r="F517">
        <f t="shared" si="16"/>
        <v>0</v>
      </c>
      <c r="G517">
        <f t="shared" si="17"/>
        <v>0</v>
      </c>
    </row>
    <row r="518" spans="6:7" x14ac:dyDescent="0.4">
      <c r="F518">
        <f t="shared" si="16"/>
        <v>0</v>
      </c>
      <c r="G518">
        <f t="shared" si="17"/>
        <v>0</v>
      </c>
    </row>
    <row r="519" spans="6:7" x14ac:dyDescent="0.4">
      <c r="F519">
        <f t="shared" si="16"/>
        <v>0</v>
      </c>
      <c r="G519">
        <f t="shared" si="17"/>
        <v>0</v>
      </c>
    </row>
    <row r="520" spans="6:7" x14ac:dyDescent="0.4">
      <c r="F520">
        <f t="shared" si="16"/>
        <v>0</v>
      </c>
      <c r="G520">
        <f t="shared" si="17"/>
        <v>0</v>
      </c>
    </row>
    <row r="521" spans="6:7" x14ac:dyDescent="0.4">
      <c r="F521">
        <f t="shared" si="16"/>
        <v>0</v>
      </c>
      <c r="G521">
        <f t="shared" si="17"/>
        <v>0</v>
      </c>
    </row>
    <row r="522" spans="6:7" x14ac:dyDescent="0.4">
      <c r="F522">
        <f t="shared" si="16"/>
        <v>0</v>
      </c>
      <c r="G522">
        <f t="shared" si="17"/>
        <v>0</v>
      </c>
    </row>
    <row r="523" spans="6:7" x14ac:dyDescent="0.4">
      <c r="F523">
        <f t="shared" si="16"/>
        <v>0</v>
      </c>
      <c r="G523">
        <f t="shared" si="17"/>
        <v>0</v>
      </c>
    </row>
    <row r="524" spans="6:7" x14ac:dyDescent="0.4">
      <c r="F524">
        <f t="shared" si="16"/>
        <v>0</v>
      </c>
      <c r="G524">
        <f t="shared" si="17"/>
        <v>0</v>
      </c>
    </row>
    <row r="525" spans="6:7" x14ac:dyDescent="0.4">
      <c r="F525">
        <f t="shared" si="16"/>
        <v>0</v>
      </c>
      <c r="G525">
        <f t="shared" si="17"/>
        <v>0</v>
      </c>
    </row>
    <row r="526" spans="6:7" x14ac:dyDescent="0.4">
      <c r="F526">
        <f t="shared" si="16"/>
        <v>0</v>
      </c>
      <c r="G526">
        <f t="shared" si="17"/>
        <v>0</v>
      </c>
    </row>
    <row r="527" spans="6:7" x14ac:dyDescent="0.4">
      <c r="F527">
        <f t="shared" si="16"/>
        <v>0</v>
      </c>
      <c r="G527">
        <f t="shared" si="17"/>
        <v>0</v>
      </c>
    </row>
    <row r="528" spans="6:7" x14ac:dyDescent="0.4">
      <c r="F528">
        <f t="shared" si="16"/>
        <v>0</v>
      </c>
      <c r="G528">
        <f t="shared" si="17"/>
        <v>0</v>
      </c>
    </row>
    <row r="529" spans="6:7" x14ac:dyDescent="0.4">
      <c r="F529">
        <f t="shared" si="16"/>
        <v>0</v>
      </c>
      <c r="G529">
        <f t="shared" si="17"/>
        <v>0</v>
      </c>
    </row>
    <row r="530" spans="6:7" x14ac:dyDescent="0.4">
      <c r="F530">
        <f t="shared" si="16"/>
        <v>0</v>
      </c>
      <c r="G530">
        <f t="shared" si="17"/>
        <v>0</v>
      </c>
    </row>
    <row r="531" spans="6:7" x14ac:dyDescent="0.4">
      <c r="F531">
        <f t="shared" si="16"/>
        <v>0</v>
      </c>
      <c r="G531">
        <f t="shared" si="17"/>
        <v>0</v>
      </c>
    </row>
    <row r="532" spans="6:7" x14ac:dyDescent="0.4">
      <c r="F532">
        <f t="shared" si="16"/>
        <v>0</v>
      </c>
      <c r="G532">
        <f t="shared" si="17"/>
        <v>0</v>
      </c>
    </row>
    <row r="533" spans="6:7" x14ac:dyDescent="0.4">
      <c r="F533">
        <f t="shared" si="16"/>
        <v>0</v>
      </c>
      <c r="G533">
        <f t="shared" si="17"/>
        <v>0</v>
      </c>
    </row>
    <row r="534" spans="6:7" x14ac:dyDescent="0.4">
      <c r="F534">
        <f t="shared" si="16"/>
        <v>0</v>
      </c>
      <c r="G534">
        <f t="shared" si="17"/>
        <v>0</v>
      </c>
    </row>
    <row r="535" spans="6:7" x14ac:dyDescent="0.4">
      <c r="F535">
        <f t="shared" si="16"/>
        <v>0</v>
      </c>
      <c r="G535">
        <f t="shared" si="17"/>
        <v>0</v>
      </c>
    </row>
    <row r="536" spans="6:7" x14ac:dyDescent="0.4">
      <c r="F536">
        <f t="shared" si="16"/>
        <v>0</v>
      </c>
      <c r="G536">
        <f t="shared" si="17"/>
        <v>0</v>
      </c>
    </row>
    <row r="537" spans="6:7" x14ac:dyDescent="0.4">
      <c r="F537">
        <f t="shared" si="16"/>
        <v>0</v>
      </c>
      <c r="G537">
        <f t="shared" si="17"/>
        <v>0</v>
      </c>
    </row>
    <row r="538" spans="6:7" x14ac:dyDescent="0.4">
      <c r="F538">
        <f t="shared" si="16"/>
        <v>0</v>
      </c>
      <c r="G538">
        <f t="shared" si="17"/>
        <v>0</v>
      </c>
    </row>
    <row r="539" spans="6:7" x14ac:dyDescent="0.4">
      <c r="F539">
        <f t="shared" si="16"/>
        <v>0</v>
      </c>
      <c r="G539">
        <f t="shared" si="17"/>
        <v>0</v>
      </c>
    </row>
    <row r="540" spans="6:7" x14ac:dyDescent="0.4">
      <c r="F540">
        <f t="shared" si="16"/>
        <v>0</v>
      </c>
      <c r="G540">
        <f t="shared" si="17"/>
        <v>0</v>
      </c>
    </row>
    <row r="541" spans="6:7" x14ac:dyDescent="0.4">
      <c r="F541">
        <f t="shared" si="16"/>
        <v>0</v>
      </c>
      <c r="G541">
        <f t="shared" si="17"/>
        <v>0</v>
      </c>
    </row>
    <row r="542" spans="6:7" x14ac:dyDescent="0.4">
      <c r="F542">
        <f t="shared" si="16"/>
        <v>0</v>
      </c>
      <c r="G542">
        <f t="shared" si="17"/>
        <v>0</v>
      </c>
    </row>
    <row r="543" spans="6:7" x14ac:dyDescent="0.4">
      <c r="F543">
        <f t="shared" si="16"/>
        <v>0</v>
      </c>
      <c r="G543">
        <f t="shared" si="17"/>
        <v>0</v>
      </c>
    </row>
    <row r="544" spans="6:7" x14ac:dyDescent="0.4">
      <c r="F544">
        <f t="shared" si="16"/>
        <v>0</v>
      </c>
      <c r="G544">
        <f t="shared" si="17"/>
        <v>0</v>
      </c>
    </row>
    <row r="545" spans="6:7" x14ac:dyDescent="0.4">
      <c r="F545">
        <f t="shared" si="16"/>
        <v>0</v>
      </c>
      <c r="G545">
        <f t="shared" si="17"/>
        <v>0</v>
      </c>
    </row>
    <row r="546" spans="6:7" x14ac:dyDescent="0.4">
      <c r="F546">
        <f t="shared" si="16"/>
        <v>0</v>
      </c>
      <c r="G546">
        <f t="shared" si="17"/>
        <v>0</v>
      </c>
    </row>
    <row r="547" spans="6:7" x14ac:dyDescent="0.4">
      <c r="F547">
        <f t="shared" si="16"/>
        <v>0</v>
      </c>
      <c r="G547">
        <f t="shared" si="17"/>
        <v>0</v>
      </c>
    </row>
    <row r="548" spans="6:7" x14ac:dyDescent="0.4">
      <c r="F548">
        <f t="shared" si="16"/>
        <v>0</v>
      </c>
      <c r="G548">
        <f t="shared" si="17"/>
        <v>0</v>
      </c>
    </row>
    <row r="549" spans="6:7" x14ac:dyDescent="0.4">
      <c r="F549">
        <f t="shared" si="16"/>
        <v>0</v>
      </c>
      <c r="G549">
        <f t="shared" si="17"/>
        <v>0</v>
      </c>
    </row>
    <row r="550" spans="6:7" x14ac:dyDescent="0.4">
      <c r="F550">
        <f t="shared" si="16"/>
        <v>0</v>
      </c>
      <c r="G550">
        <f t="shared" si="17"/>
        <v>0</v>
      </c>
    </row>
    <row r="551" spans="6:7" x14ac:dyDescent="0.4">
      <c r="F551">
        <f t="shared" si="16"/>
        <v>0</v>
      </c>
      <c r="G551">
        <f t="shared" si="17"/>
        <v>0</v>
      </c>
    </row>
    <row r="552" spans="6:7" x14ac:dyDescent="0.4">
      <c r="F552">
        <f t="shared" si="16"/>
        <v>0</v>
      </c>
      <c r="G552">
        <f t="shared" si="17"/>
        <v>0</v>
      </c>
    </row>
    <row r="553" spans="6:7" x14ac:dyDescent="0.4">
      <c r="F553">
        <f t="shared" si="16"/>
        <v>0</v>
      </c>
      <c r="G553">
        <f t="shared" si="17"/>
        <v>0</v>
      </c>
    </row>
    <row r="554" spans="6:7" x14ac:dyDescent="0.4">
      <c r="F554">
        <f t="shared" si="16"/>
        <v>0</v>
      </c>
      <c r="G554">
        <f t="shared" si="17"/>
        <v>0</v>
      </c>
    </row>
    <row r="555" spans="6:7" x14ac:dyDescent="0.4">
      <c r="F555">
        <f t="shared" si="16"/>
        <v>0</v>
      </c>
      <c r="G555">
        <f t="shared" si="17"/>
        <v>0</v>
      </c>
    </row>
    <row r="556" spans="6:7" x14ac:dyDescent="0.4">
      <c r="F556">
        <f t="shared" si="16"/>
        <v>0</v>
      </c>
      <c r="G556">
        <f t="shared" si="17"/>
        <v>0</v>
      </c>
    </row>
    <row r="557" spans="6:7" x14ac:dyDescent="0.4">
      <c r="F557">
        <f t="shared" si="16"/>
        <v>0</v>
      </c>
      <c r="G557">
        <f t="shared" si="17"/>
        <v>0</v>
      </c>
    </row>
    <row r="558" spans="6:7" x14ac:dyDescent="0.4">
      <c r="F558">
        <f t="shared" si="16"/>
        <v>0</v>
      </c>
      <c r="G558">
        <f t="shared" si="17"/>
        <v>0</v>
      </c>
    </row>
    <row r="559" spans="6:7" x14ac:dyDescent="0.4">
      <c r="F559">
        <f t="shared" si="16"/>
        <v>0</v>
      </c>
      <c r="G559">
        <f t="shared" si="17"/>
        <v>0</v>
      </c>
    </row>
    <row r="560" spans="6:7" x14ac:dyDescent="0.4">
      <c r="F560">
        <f t="shared" si="16"/>
        <v>0</v>
      </c>
      <c r="G560">
        <f t="shared" si="17"/>
        <v>0</v>
      </c>
    </row>
    <row r="561" spans="6:7" x14ac:dyDescent="0.4">
      <c r="F561">
        <f t="shared" si="16"/>
        <v>0</v>
      </c>
      <c r="G561">
        <f t="shared" si="17"/>
        <v>0</v>
      </c>
    </row>
    <row r="562" spans="6:7" x14ac:dyDescent="0.4">
      <c r="F562">
        <f t="shared" si="16"/>
        <v>0</v>
      </c>
      <c r="G562">
        <f t="shared" si="17"/>
        <v>0</v>
      </c>
    </row>
    <row r="563" spans="6:7" x14ac:dyDescent="0.4">
      <c r="F563">
        <f t="shared" si="16"/>
        <v>0</v>
      </c>
      <c r="G563">
        <f t="shared" si="17"/>
        <v>0</v>
      </c>
    </row>
    <row r="564" spans="6:7" x14ac:dyDescent="0.4">
      <c r="F564">
        <f t="shared" si="16"/>
        <v>0</v>
      </c>
      <c r="G564">
        <f t="shared" si="17"/>
        <v>0</v>
      </c>
    </row>
    <row r="565" spans="6:7" x14ac:dyDescent="0.4">
      <c r="F565">
        <f t="shared" si="16"/>
        <v>0</v>
      </c>
      <c r="G565">
        <f t="shared" si="17"/>
        <v>0</v>
      </c>
    </row>
    <row r="566" spans="6:7" x14ac:dyDescent="0.4">
      <c r="F566">
        <f t="shared" si="16"/>
        <v>0</v>
      </c>
      <c r="G566">
        <f t="shared" si="17"/>
        <v>0</v>
      </c>
    </row>
    <row r="567" spans="6:7" x14ac:dyDescent="0.4">
      <c r="F567">
        <f t="shared" si="16"/>
        <v>0</v>
      </c>
      <c r="G567">
        <f t="shared" si="17"/>
        <v>0</v>
      </c>
    </row>
    <row r="568" spans="6:7" x14ac:dyDescent="0.4">
      <c r="F568">
        <f t="shared" si="16"/>
        <v>0</v>
      </c>
      <c r="G568">
        <f t="shared" si="17"/>
        <v>0</v>
      </c>
    </row>
    <row r="569" spans="6:7" x14ac:dyDescent="0.4">
      <c r="F569">
        <f t="shared" si="16"/>
        <v>0</v>
      </c>
      <c r="G569">
        <f t="shared" si="17"/>
        <v>0</v>
      </c>
    </row>
    <row r="570" spans="6:7" x14ac:dyDescent="0.4">
      <c r="F570">
        <f t="shared" si="16"/>
        <v>0</v>
      </c>
      <c r="G570">
        <f t="shared" si="17"/>
        <v>0</v>
      </c>
    </row>
    <row r="571" spans="6:7" x14ac:dyDescent="0.4">
      <c r="F571">
        <f t="shared" si="16"/>
        <v>0</v>
      </c>
      <c r="G571">
        <f t="shared" si="17"/>
        <v>0</v>
      </c>
    </row>
    <row r="572" spans="6:7" x14ac:dyDescent="0.4">
      <c r="F572">
        <f t="shared" si="16"/>
        <v>0</v>
      </c>
      <c r="G572">
        <f t="shared" si="17"/>
        <v>0</v>
      </c>
    </row>
    <row r="573" spans="6:7" x14ac:dyDescent="0.4">
      <c r="F573">
        <f t="shared" si="16"/>
        <v>0</v>
      </c>
      <c r="G573">
        <f t="shared" si="17"/>
        <v>0</v>
      </c>
    </row>
    <row r="574" spans="6:7" x14ac:dyDescent="0.4">
      <c r="F574">
        <f t="shared" si="16"/>
        <v>0</v>
      </c>
      <c r="G574">
        <f t="shared" si="17"/>
        <v>0</v>
      </c>
    </row>
    <row r="575" spans="6:7" x14ac:dyDescent="0.4">
      <c r="F575">
        <f t="shared" si="16"/>
        <v>0</v>
      </c>
      <c r="G575">
        <f t="shared" si="17"/>
        <v>0</v>
      </c>
    </row>
    <row r="576" spans="6:7" x14ac:dyDescent="0.4">
      <c r="F576">
        <f t="shared" si="16"/>
        <v>0</v>
      </c>
      <c r="G576">
        <f t="shared" si="17"/>
        <v>0</v>
      </c>
    </row>
    <row r="577" spans="6:7" x14ac:dyDescent="0.4">
      <c r="F577">
        <f t="shared" si="16"/>
        <v>0</v>
      </c>
      <c r="G577">
        <f t="shared" si="17"/>
        <v>0</v>
      </c>
    </row>
    <row r="578" spans="6:7" x14ac:dyDescent="0.4">
      <c r="F578">
        <f t="shared" si="16"/>
        <v>0</v>
      </c>
      <c r="G578">
        <f t="shared" si="17"/>
        <v>0</v>
      </c>
    </row>
    <row r="579" spans="6:7" x14ac:dyDescent="0.4">
      <c r="F579">
        <f t="shared" ref="F579:F642" si="18">E579*D579</f>
        <v>0</v>
      </c>
      <c r="G579">
        <f t="shared" ref="G579:G642" si="19">F579-(F579*0.3)</f>
        <v>0</v>
      </c>
    </row>
    <row r="580" spans="6:7" x14ac:dyDescent="0.4">
      <c r="F580">
        <f t="shared" si="18"/>
        <v>0</v>
      </c>
      <c r="G580">
        <f t="shared" si="19"/>
        <v>0</v>
      </c>
    </row>
    <row r="581" spans="6:7" x14ac:dyDescent="0.4">
      <c r="F581">
        <f t="shared" si="18"/>
        <v>0</v>
      </c>
      <c r="G581">
        <f t="shared" si="19"/>
        <v>0</v>
      </c>
    </row>
    <row r="582" spans="6:7" x14ac:dyDescent="0.4">
      <c r="F582">
        <f t="shared" si="18"/>
        <v>0</v>
      </c>
      <c r="G582">
        <f t="shared" si="19"/>
        <v>0</v>
      </c>
    </row>
    <row r="583" spans="6:7" x14ac:dyDescent="0.4">
      <c r="F583">
        <f t="shared" si="18"/>
        <v>0</v>
      </c>
      <c r="G583">
        <f t="shared" si="19"/>
        <v>0</v>
      </c>
    </row>
    <row r="584" spans="6:7" x14ac:dyDescent="0.4">
      <c r="F584">
        <f t="shared" si="18"/>
        <v>0</v>
      </c>
      <c r="G584">
        <f t="shared" si="19"/>
        <v>0</v>
      </c>
    </row>
    <row r="585" spans="6:7" x14ac:dyDescent="0.4">
      <c r="F585">
        <f t="shared" si="18"/>
        <v>0</v>
      </c>
      <c r="G585">
        <f t="shared" si="19"/>
        <v>0</v>
      </c>
    </row>
    <row r="586" spans="6:7" x14ac:dyDescent="0.4">
      <c r="F586">
        <f t="shared" si="18"/>
        <v>0</v>
      </c>
      <c r="G586">
        <f t="shared" si="19"/>
        <v>0</v>
      </c>
    </row>
    <row r="587" spans="6:7" x14ac:dyDescent="0.4">
      <c r="F587">
        <f t="shared" si="18"/>
        <v>0</v>
      </c>
      <c r="G587">
        <f t="shared" si="19"/>
        <v>0</v>
      </c>
    </row>
    <row r="588" spans="6:7" x14ac:dyDescent="0.4">
      <c r="F588">
        <f t="shared" si="18"/>
        <v>0</v>
      </c>
      <c r="G588">
        <f t="shared" si="19"/>
        <v>0</v>
      </c>
    </row>
    <row r="589" spans="6:7" x14ac:dyDescent="0.4">
      <c r="F589">
        <f t="shared" si="18"/>
        <v>0</v>
      </c>
      <c r="G589">
        <f t="shared" si="19"/>
        <v>0</v>
      </c>
    </row>
    <row r="590" spans="6:7" x14ac:dyDescent="0.4">
      <c r="F590">
        <f t="shared" si="18"/>
        <v>0</v>
      </c>
      <c r="G590">
        <f t="shared" si="19"/>
        <v>0</v>
      </c>
    </row>
    <row r="591" spans="6:7" x14ac:dyDescent="0.4">
      <c r="F591">
        <f t="shared" si="18"/>
        <v>0</v>
      </c>
      <c r="G591">
        <f t="shared" si="19"/>
        <v>0</v>
      </c>
    </row>
    <row r="592" spans="6:7" x14ac:dyDescent="0.4">
      <c r="F592">
        <f t="shared" si="18"/>
        <v>0</v>
      </c>
      <c r="G592">
        <f t="shared" si="19"/>
        <v>0</v>
      </c>
    </row>
    <row r="593" spans="6:7" x14ac:dyDescent="0.4">
      <c r="F593">
        <f t="shared" si="18"/>
        <v>0</v>
      </c>
      <c r="G593">
        <f t="shared" si="19"/>
        <v>0</v>
      </c>
    </row>
    <row r="594" spans="6:7" x14ac:dyDescent="0.4">
      <c r="F594">
        <f t="shared" si="18"/>
        <v>0</v>
      </c>
      <c r="G594">
        <f t="shared" si="19"/>
        <v>0</v>
      </c>
    </row>
    <row r="595" spans="6:7" x14ac:dyDescent="0.4">
      <c r="F595">
        <f t="shared" si="18"/>
        <v>0</v>
      </c>
      <c r="G595">
        <f t="shared" si="19"/>
        <v>0</v>
      </c>
    </row>
    <row r="596" spans="6:7" x14ac:dyDescent="0.4">
      <c r="F596">
        <f t="shared" si="18"/>
        <v>0</v>
      </c>
      <c r="G596">
        <f t="shared" si="19"/>
        <v>0</v>
      </c>
    </row>
    <row r="597" spans="6:7" x14ac:dyDescent="0.4">
      <c r="F597">
        <f t="shared" si="18"/>
        <v>0</v>
      </c>
      <c r="G597">
        <f t="shared" si="19"/>
        <v>0</v>
      </c>
    </row>
    <row r="598" spans="6:7" x14ac:dyDescent="0.4">
      <c r="F598">
        <f t="shared" si="18"/>
        <v>0</v>
      </c>
      <c r="G598">
        <f t="shared" si="19"/>
        <v>0</v>
      </c>
    </row>
    <row r="599" spans="6:7" x14ac:dyDescent="0.4">
      <c r="F599">
        <f t="shared" si="18"/>
        <v>0</v>
      </c>
      <c r="G599">
        <f t="shared" si="19"/>
        <v>0</v>
      </c>
    </row>
    <row r="600" spans="6:7" x14ac:dyDescent="0.4">
      <c r="F600">
        <f t="shared" si="18"/>
        <v>0</v>
      </c>
      <c r="G600">
        <f t="shared" si="19"/>
        <v>0</v>
      </c>
    </row>
    <row r="601" spans="6:7" x14ac:dyDescent="0.4">
      <c r="F601">
        <f t="shared" si="18"/>
        <v>0</v>
      </c>
      <c r="G601">
        <f t="shared" si="19"/>
        <v>0</v>
      </c>
    </row>
    <row r="602" spans="6:7" x14ac:dyDescent="0.4">
      <c r="F602">
        <f t="shared" si="18"/>
        <v>0</v>
      </c>
      <c r="G602">
        <f t="shared" si="19"/>
        <v>0</v>
      </c>
    </row>
    <row r="603" spans="6:7" x14ac:dyDescent="0.4">
      <c r="F603">
        <f t="shared" si="18"/>
        <v>0</v>
      </c>
      <c r="G603">
        <f t="shared" si="19"/>
        <v>0</v>
      </c>
    </row>
    <row r="604" spans="6:7" x14ac:dyDescent="0.4">
      <c r="F604">
        <f t="shared" si="18"/>
        <v>0</v>
      </c>
      <c r="G604">
        <f t="shared" si="19"/>
        <v>0</v>
      </c>
    </row>
    <row r="605" spans="6:7" x14ac:dyDescent="0.4">
      <c r="F605">
        <f t="shared" si="18"/>
        <v>0</v>
      </c>
      <c r="G605">
        <f t="shared" si="19"/>
        <v>0</v>
      </c>
    </row>
    <row r="606" spans="6:7" x14ac:dyDescent="0.4">
      <c r="F606">
        <f t="shared" si="18"/>
        <v>0</v>
      </c>
      <c r="G606">
        <f t="shared" si="19"/>
        <v>0</v>
      </c>
    </row>
    <row r="607" spans="6:7" x14ac:dyDescent="0.4">
      <c r="F607">
        <f t="shared" si="18"/>
        <v>0</v>
      </c>
      <c r="G607">
        <f t="shared" si="19"/>
        <v>0</v>
      </c>
    </row>
    <row r="608" spans="6:7" x14ac:dyDescent="0.4">
      <c r="F608">
        <f t="shared" si="18"/>
        <v>0</v>
      </c>
      <c r="G608">
        <f t="shared" si="19"/>
        <v>0</v>
      </c>
    </row>
    <row r="609" spans="6:7" x14ac:dyDescent="0.4">
      <c r="F609">
        <f t="shared" si="18"/>
        <v>0</v>
      </c>
      <c r="G609">
        <f t="shared" si="19"/>
        <v>0</v>
      </c>
    </row>
    <row r="610" spans="6:7" x14ac:dyDescent="0.4">
      <c r="F610">
        <f t="shared" si="18"/>
        <v>0</v>
      </c>
      <c r="G610">
        <f t="shared" si="19"/>
        <v>0</v>
      </c>
    </row>
    <row r="611" spans="6:7" x14ac:dyDescent="0.4">
      <c r="F611">
        <f t="shared" si="18"/>
        <v>0</v>
      </c>
      <c r="G611">
        <f t="shared" si="19"/>
        <v>0</v>
      </c>
    </row>
    <row r="612" spans="6:7" x14ac:dyDescent="0.4">
      <c r="F612">
        <f t="shared" si="18"/>
        <v>0</v>
      </c>
      <c r="G612">
        <f t="shared" si="19"/>
        <v>0</v>
      </c>
    </row>
    <row r="613" spans="6:7" x14ac:dyDescent="0.4">
      <c r="F613">
        <f t="shared" si="18"/>
        <v>0</v>
      </c>
      <c r="G613">
        <f t="shared" si="19"/>
        <v>0</v>
      </c>
    </row>
    <row r="614" spans="6:7" x14ac:dyDescent="0.4">
      <c r="F614">
        <f t="shared" si="18"/>
        <v>0</v>
      </c>
      <c r="G614">
        <f t="shared" si="19"/>
        <v>0</v>
      </c>
    </row>
    <row r="615" spans="6:7" x14ac:dyDescent="0.4">
      <c r="F615">
        <f t="shared" si="18"/>
        <v>0</v>
      </c>
      <c r="G615">
        <f t="shared" si="19"/>
        <v>0</v>
      </c>
    </row>
    <row r="616" spans="6:7" x14ac:dyDescent="0.4">
      <c r="F616">
        <f t="shared" si="18"/>
        <v>0</v>
      </c>
      <c r="G616">
        <f t="shared" si="19"/>
        <v>0</v>
      </c>
    </row>
    <row r="617" spans="6:7" x14ac:dyDescent="0.4">
      <c r="F617">
        <f t="shared" si="18"/>
        <v>0</v>
      </c>
      <c r="G617">
        <f t="shared" si="19"/>
        <v>0</v>
      </c>
    </row>
    <row r="618" spans="6:7" x14ac:dyDescent="0.4">
      <c r="F618">
        <f t="shared" si="18"/>
        <v>0</v>
      </c>
      <c r="G618">
        <f t="shared" si="19"/>
        <v>0</v>
      </c>
    </row>
    <row r="619" spans="6:7" x14ac:dyDescent="0.4">
      <c r="F619">
        <f t="shared" si="18"/>
        <v>0</v>
      </c>
      <c r="G619">
        <f t="shared" si="19"/>
        <v>0</v>
      </c>
    </row>
    <row r="620" spans="6:7" x14ac:dyDescent="0.4">
      <c r="F620">
        <f t="shared" si="18"/>
        <v>0</v>
      </c>
      <c r="G620">
        <f t="shared" si="19"/>
        <v>0</v>
      </c>
    </row>
    <row r="621" spans="6:7" x14ac:dyDescent="0.4">
      <c r="F621">
        <f t="shared" si="18"/>
        <v>0</v>
      </c>
      <c r="G621">
        <f t="shared" si="19"/>
        <v>0</v>
      </c>
    </row>
    <row r="622" spans="6:7" x14ac:dyDescent="0.4">
      <c r="F622">
        <f t="shared" si="18"/>
        <v>0</v>
      </c>
      <c r="G622">
        <f t="shared" si="19"/>
        <v>0</v>
      </c>
    </row>
    <row r="623" spans="6:7" x14ac:dyDescent="0.4">
      <c r="F623">
        <f t="shared" si="18"/>
        <v>0</v>
      </c>
      <c r="G623">
        <f t="shared" si="19"/>
        <v>0</v>
      </c>
    </row>
    <row r="624" spans="6:7" x14ac:dyDescent="0.4">
      <c r="F624">
        <f t="shared" si="18"/>
        <v>0</v>
      </c>
      <c r="G624">
        <f t="shared" si="19"/>
        <v>0</v>
      </c>
    </row>
    <row r="625" spans="6:7" x14ac:dyDescent="0.4">
      <c r="F625">
        <f t="shared" si="18"/>
        <v>0</v>
      </c>
      <c r="G625">
        <f t="shared" si="19"/>
        <v>0</v>
      </c>
    </row>
    <row r="626" spans="6:7" x14ac:dyDescent="0.4">
      <c r="F626">
        <f t="shared" si="18"/>
        <v>0</v>
      </c>
      <c r="G626">
        <f t="shared" si="19"/>
        <v>0</v>
      </c>
    </row>
    <row r="627" spans="6:7" x14ac:dyDescent="0.4">
      <c r="F627">
        <f t="shared" si="18"/>
        <v>0</v>
      </c>
      <c r="G627">
        <f t="shared" si="19"/>
        <v>0</v>
      </c>
    </row>
    <row r="628" spans="6:7" x14ac:dyDescent="0.4">
      <c r="F628">
        <f t="shared" si="18"/>
        <v>0</v>
      </c>
      <c r="G628">
        <f t="shared" si="19"/>
        <v>0</v>
      </c>
    </row>
    <row r="629" spans="6:7" x14ac:dyDescent="0.4">
      <c r="F629">
        <f t="shared" si="18"/>
        <v>0</v>
      </c>
      <c r="G629">
        <f t="shared" si="19"/>
        <v>0</v>
      </c>
    </row>
    <row r="630" spans="6:7" x14ac:dyDescent="0.4">
      <c r="F630">
        <f t="shared" si="18"/>
        <v>0</v>
      </c>
      <c r="G630">
        <f t="shared" si="19"/>
        <v>0</v>
      </c>
    </row>
    <row r="631" spans="6:7" x14ac:dyDescent="0.4">
      <c r="F631">
        <f t="shared" si="18"/>
        <v>0</v>
      </c>
      <c r="G631">
        <f t="shared" si="19"/>
        <v>0</v>
      </c>
    </row>
    <row r="632" spans="6:7" x14ac:dyDescent="0.4">
      <c r="F632">
        <f t="shared" si="18"/>
        <v>0</v>
      </c>
      <c r="G632">
        <f t="shared" si="19"/>
        <v>0</v>
      </c>
    </row>
    <row r="633" spans="6:7" x14ac:dyDescent="0.4">
      <c r="F633">
        <f t="shared" si="18"/>
        <v>0</v>
      </c>
      <c r="G633">
        <f t="shared" si="19"/>
        <v>0</v>
      </c>
    </row>
    <row r="634" spans="6:7" x14ac:dyDescent="0.4">
      <c r="F634">
        <f t="shared" si="18"/>
        <v>0</v>
      </c>
      <c r="G634">
        <f t="shared" si="19"/>
        <v>0</v>
      </c>
    </row>
    <row r="635" spans="6:7" x14ac:dyDescent="0.4">
      <c r="F635">
        <f t="shared" si="18"/>
        <v>0</v>
      </c>
      <c r="G635">
        <f t="shared" si="19"/>
        <v>0</v>
      </c>
    </row>
    <row r="636" spans="6:7" x14ac:dyDescent="0.4">
      <c r="F636">
        <f t="shared" si="18"/>
        <v>0</v>
      </c>
      <c r="G636">
        <f t="shared" si="19"/>
        <v>0</v>
      </c>
    </row>
    <row r="637" spans="6:7" x14ac:dyDescent="0.4">
      <c r="F637">
        <f t="shared" si="18"/>
        <v>0</v>
      </c>
      <c r="G637">
        <f t="shared" si="19"/>
        <v>0</v>
      </c>
    </row>
    <row r="638" spans="6:7" x14ac:dyDescent="0.4">
      <c r="F638">
        <f t="shared" si="18"/>
        <v>0</v>
      </c>
      <c r="G638">
        <f t="shared" si="19"/>
        <v>0</v>
      </c>
    </row>
    <row r="639" spans="6:7" x14ac:dyDescent="0.4">
      <c r="F639">
        <f t="shared" si="18"/>
        <v>0</v>
      </c>
      <c r="G639">
        <f t="shared" si="19"/>
        <v>0</v>
      </c>
    </row>
    <row r="640" spans="6:7" x14ac:dyDescent="0.4">
      <c r="F640">
        <f t="shared" si="18"/>
        <v>0</v>
      </c>
      <c r="G640">
        <f t="shared" si="19"/>
        <v>0</v>
      </c>
    </row>
    <row r="641" spans="6:7" x14ac:dyDescent="0.4">
      <c r="F641">
        <f t="shared" si="18"/>
        <v>0</v>
      </c>
      <c r="G641">
        <f t="shared" si="19"/>
        <v>0</v>
      </c>
    </row>
    <row r="642" spans="6:7" x14ac:dyDescent="0.4">
      <c r="F642">
        <f t="shared" si="18"/>
        <v>0</v>
      </c>
      <c r="G642">
        <f t="shared" si="19"/>
        <v>0</v>
      </c>
    </row>
    <row r="643" spans="6:7" x14ac:dyDescent="0.4">
      <c r="F643">
        <f t="shared" ref="F643:F706" si="20">E643*D643</f>
        <v>0</v>
      </c>
      <c r="G643">
        <f t="shared" ref="G643:G706" si="21">F643-(F643*0.3)</f>
        <v>0</v>
      </c>
    </row>
    <row r="644" spans="6:7" x14ac:dyDescent="0.4">
      <c r="F644">
        <f t="shared" si="20"/>
        <v>0</v>
      </c>
      <c r="G644">
        <f t="shared" si="21"/>
        <v>0</v>
      </c>
    </row>
    <row r="645" spans="6:7" x14ac:dyDescent="0.4">
      <c r="F645">
        <f t="shared" si="20"/>
        <v>0</v>
      </c>
      <c r="G645">
        <f t="shared" si="21"/>
        <v>0</v>
      </c>
    </row>
    <row r="646" spans="6:7" x14ac:dyDescent="0.4">
      <c r="F646">
        <f t="shared" si="20"/>
        <v>0</v>
      </c>
      <c r="G646">
        <f t="shared" si="21"/>
        <v>0</v>
      </c>
    </row>
    <row r="647" spans="6:7" x14ac:dyDescent="0.4">
      <c r="F647">
        <f t="shared" si="20"/>
        <v>0</v>
      </c>
      <c r="G647">
        <f t="shared" si="21"/>
        <v>0</v>
      </c>
    </row>
    <row r="648" spans="6:7" x14ac:dyDescent="0.4">
      <c r="F648">
        <f t="shared" si="20"/>
        <v>0</v>
      </c>
      <c r="G648">
        <f t="shared" si="21"/>
        <v>0</v>
      </c>
    </row>
    <row r="649" spans="6:7" x14ac:dyDescent="0.4">
      <c r="F649">
        <f t="shared" si="20"/>
        <v>0</v>
      </c>
      <c r="G649">
        <f t="shared" si="21"/>
        <v>0</v>
      </c>
    </row>
    <row r="650" spans="6:7" x14ac:dyDescent="0.4">
      <c r="F650">
        <f t="shared" si="20"/>
        <v>0</v>
      </c>
      <c r="G650">
        <f t="shared" si="21"/>
        <v>0</v>
      </c>
    </row>
    <row r="651" spans="6:7" x14ac:dyDescent="0.4">
      <c r="F651">
        <f t="shared" si="20"/>
        <v>0</v>
      </c>
      <c r="G651">
        <f t="shared" si="21"/>
        <v>0</v>
      </c>
    </row>
    <row r="652" spans="6:7" x14ac:dyDescent="0.4">
      <c r="F652">
        <f t="shared" si="20"/>
        <v>0</v>
      </c>
      <c r="G652">
        <f t="shared" si="21"/>
        <v>0</v>
      </c>
    </row>
    <row r="653" spans="6:7" x14ac:dyDescent="0.4">
      <c r="F653">
        <f t="shared" si="20"/>
        <v>0</v>
      </c>
      <c r="G653">
        <f t="shared" si="21"/>
        <v>0</v>
      </c>
    </row>
    <row r="654" spans="6:7" x14ac:dyDescent="0.4">
      <c r="F654">
        <f t="shared" si="20"/>
        <v>0</v>
      </c>
      <c r="G654">
        <f t="shared" si="21"/>
        <v>0</v>
      </c>
    </row>
    <row r="655" spans="6:7" x14ac:dyDescent="0.4">
      <c r="F655">
        <f t="shared" si="20"/>
        <v>0</v>
      </c>
      <c r="G655">
        <f t="shared" si="21"/>
        <v>0</v>
      </c>
    </row>
    <row r="656" spans="6:7" x14ac:dyDescent="0.4">
      <c r="F656">
        <f t="shared" si="20"/>
        <v>0</v>
      </c>
      <c r="G656">
        <f t="shared" si="21"/>
        <v>0</v>
      </c>
    </row>
    <row r="657" spans="6:7" x14ac:dyDescent="0.4">
      <c r="F657">
        <f t="shared" si="20"/>
        <v>0</v>
      </c>
      <c r="G657">
        <f t="shared" si="21"/>
        <v>0</v>
      </c>
    </row>
    <row r="658" spans="6:7" x14ac:dyDescent="0.4">
      <c r="F658">
        <f t="shared" si="20"/>
        <v>0</v>
      </c>
      <c r="G658">
        <f t="shared" si="21"/>
        <v>0</v>
      </c>
    </row>
    <row r="659" spans="6:7" x14ac:dyDescent="0.4">
      <c r="F659">
        <f t="shared" si="20"/>
        <v>0</v>
      </c>
      <c r="G659">
        <f t="shared" si="21"/>
        <v>0</v>
      </c>
    </row>
    <row r="660" spans="6:7" x14ac:dyDescent="0.4">
      <c r="F660">
        <f t="shared" si="20"/>
        <v>0</v>
      </c>
      <c r="G660">
        <f t="shared" si="21"/>
        <v>0</v>
      </c>
    </row>
    <row r="661" spans="6:7" x14ac:dyDescent="0.4">
      <c r="F661">
        <f t="shared" si="20"/>
        <v>0</v>
      </c>
      <c r="G661">
        <f t="shared" si="21"/>
        <v>0</v>
      </c>
    </row>
    <row r="662" spans="6:7" x14ac:dyDescent="0.4">
      <c r="F662">
        <f t="shared" si="20"/>
        <v>0</v>
      </c>
      <c r="G662">
        <f t="shared" si="21"/>
        <v>0</v>
      </c>
    </row>
    <row r="663" spans="6:7" x14ac:dyDescent="0.4">
      <c r="F663">
        <f t="shared" si="20"/>
        <v>0</v>
      </c>
      <c r="G663">
        <f t="shared" si="21"/>
        <v>0</v>
      </c>
    </row>
    <row r="664" spans="6:7" x14ac:dyDescent="0.4">
      <c r="F664">
        <f t="shared" si="20"/>
        <v>0</v>
      </c>
      <c r="G664">
        <f t="shared" si="21"/>
        <v>0</v>
      </c>
    </row>
    <row r="665" spans="6:7" x14ac:dyDescent="0.4">
      <c r="F665">
        <f t="shared" si="20"/>
        <v>0</v>
      </c>
      <c r="G665">
        <f t="shared" si="21"/>
        <v>0</v>
      </c>
    </row>
    <row r="666" spans="6:7" x14ac:dyDescent="0.4">
      <c r="F666">
        <f t="shared" si="20"/>
        <v>0</v>
      </c>
      <c r="G666">
        <f t="shared" si="21"/>
        <v>0</v>
      </c>
    </row>
    <row r="667" spans="6:7" x14ac:dyDescent="0.4">
      <c r="F667">
        <f t="shared" si="20"/>
        <v>0</v>
      </c>
      <c r="G667">
        <f t="shared" si="21"/>
        <v>0</v>
      </c>
    </row>
    <row r="668" spans="6:7" x14ac:dyDescent="0.4">
      <c r="F668">
        <f t="shared" si="20"/>
        <v>0</v>
      </c>
      <c r="G668">
        <f t="shared" si="21"/>
        <v>0</v>
      </c>
    </row>
    <row r="669" spans="6:7" x14ac:dyDescent="0.4">
      <c r="F669">
        <f t="shared" si="20"/>
        <v>0</v>
      </c>
      <c r="G669">
        <f t="shared" si="21"/>
        <v>0</v>
      </c>
    </row>
    <row r="670" spans="6:7" x14ac:dyDescent="0.4">
      <c r="F670">
        <f t="shared" si="20"/>
        <v>0</v>
      </c>
      <c r="G670">
        <f t="shared" si="21"/>
        <v>0</v>
      </c>
    </row>
    <row r="671" spans="6:7" x14ac:dyDescent="0.4">
      <c r="F671">
        <f t="shared" si="20"/>
        <v>0</v>
      </c>
      <c r="G671">
        <f t="shared" si="21"/>
        <v>0</v>
      </c>
    </row>
    <row r="672" spans="6:7" x14ac:dyDescent="0.4">
      <c r="F672">
        <f t="shared" si="20"/>
        <v>0</v>
      </c>
      <c r="G672">
        <f t="shared" si="21"/>
        <v>0</v>
      </c>
    </row>
    <row r="673" spans="6:7" x14ac:dyDescent="0.4">
      <c r="F673">
        <f t="shared" si="20"/>
        <v>0</v>
      </c>
      <c r="G673">
        <f t="shared" si="21"/>
        <v>0</v>
      </c>
    </row>
    <row r="674" spans="6:7" x14ac:dyDescent="0.4">
      <c r="F674">
        <f t="shared" si="20"/>
        <v>0</v>
      </c>
      <c r="G674">
        <f t="shared" si="21"/>
        <v>0</v>
      </c>
    </row>
    <row r="675" spans="6:7" x14ac:dyDescent="0.4">
      <c r="F675">
        <f t="shared" si="20"/>
        <v>0</v>
      </c>
      <c r="G675">
        <f t="shared" si="21"/>
        <v>0</v>
      </c>
    </row>
    <row r="676" spans="6:7" x14ac:dyDescent="0.4">
      <c r="F676">
        <f t="shared" si="20"/>
        <v>0</v>
      </c>
      <c r="G676">
        <f t="shared" si="21"/>
        <v>0</v>
      </c>
    </row>
    <row r="677" spans="6:7" x14ac:dyDescent="0.4">
      <c r="F677">
        <f t="shared" si="20"/>
        <v>0</v>
      </c>
      <c r="G677">
        <f t="shared" si="21"/>
        <v>0</v>
      </c>
    </row>
    <row r="678" spans="6:7" x14ac:dyDescent="0.4">
      <c r="F678">
        <f t="shared" si="20"/>
        <v>0</v>
      </c>
      <c r="G678">
        <f t="shared" si="21"/>
        <v>0</v>
      </c>
    </row>
    <row r="679" spans="6:7" x14ac:dyDescent="0.4">
      <c r="F679">
        <f t="shared" si="20"/>
        <v>0</v>
      </c>
      <c r="G679">
        <f t="shared" si="21"/>
        <v>0</v>
      </c>
    </row>
    <row r="680" spans="6:7" x14ac:dyDescent="0.4">
      <c r="F680">
        <f t="shared" si="20"/>
        <v>0</v>
      </c>
      <c r="G680">
        <f t="shared" si="21"/>
        <v>0</v>
      </c>
    </row>
    <row r="681" spans="6:7" x14ac:dyDescent="0.4">
      <c r="F681">
        <f t="shared" si="20"/>
        <v>0</v>
      </c>
      <c r="G681">
        <f t="shared" si="21"/>
        <v>0</v>
      </c>
    </row>
    <row r="682" spans="6:7" x14ac:dyDescent="0.4">
      <c r="F682">
        <f t="shared" si="20"/>
        <v>0</v>
      </c>
      <c r="G682">
        <f t="shared" si="21"/>
        <v>0</v>
      </c>
    </row>
    <row r="683" spans="6:7" x14ac:dyDescent="0.4">
      <c r="F683">
        <f t="shared" si="20"/>
        <v>0</v>
      </c>
      <c r="G683">
        <f t="shared" si="21"/>
        <v>0</v>
      </c>
    </row>
    <row r="684" spans="6:7" x14ac:dyDescent="0.4">
      <c r="F684">
        <f t="shared" si="20"/>
        <v>0</v>
      </c>
      <c r="G684">
        <f t="shared" si="21"/>
        <v>0</v>
      </c>
    </row>
    <row r="685" spans="6:7" x14ac:dyDescent="0.4">
      <c r="F685">
        <f t="shared" si="20"/>
        <v>0</v>
      </c>
      <c r="G685">
        <f t="shared" si="21"/>
        <v>0</v>
      </c>
    </row>
    <row r="686" spans="6:7" x14ac:dyDescent="0.4">
      <c r="F686">
        <f t="shared" si="20"/>
        <v>0</v>
      </c>
      <c r="G686">
        <f t="shared" si="21"/>
        <v>0</v>
      </c>
    </row>
    <row r="687" spans="6:7" x14ac:dyDescent="0.4">
      <c r="F687">
        <f t="shared" si="20"/>
        <v>0</v>
      </c>
      <c r="G687">
        <f t="shared" si="21"/>
        <v>0</v>
      </c>
    </row>
    <row r="688" spans="6:7" x14ac:dyDescent="0.4">
      <c r="F688">
        <f t="shared" si="20"/>
        <v>0</v>
      </c>
      <c r="G688">
        <f t="shared" si="21"/>
        <v>0</v>
      </c>
    </row>
    <row r="689" spans="6:7" x14ac:dyDescent="0.4">
      <c r="F689">
        <f t="shared" si="20"/>
        <v>0</v>
      </c>
      <c r="G689">
        <f t="shared" si="21"/>
        <v>0</v>
      </c>
    </row>
    <row r="690" spans="6:7" x14ac:dyDescent="0.4">
      <c r="F690">
        <f t="shared" si="20"/>
        <v>0</v>
      </c>
      <c r="G690">
        <f t="shared" si="21"/>
        <v>0</v>
      </c>
    </row>
    <row r="691" spans="6:7" x14ac:dyDescent="0.4">
      <c r="F691">
        <f t="shared" si="20"/>
        <v>0</v>
      </c>
      <c r="G691">
        <f t="shared" si="21"/>
        <v>0</v>
      </c>
    </row>
    <row r="692" spans="6:7" x14ac:dyDescent="0.4">
      <c r="F692">
        <f t="shared" si="20"/>
        <v>0</v>
      </c>
      <c r="G692">
        <f t="shared" si="21"/>
        <v>0</v>
      </c>
    </row>
    <row r="693" spans="6:7" x14ac:dyDescent="0.4">
      <c r="F693">
        <f t="shared" si="20"/>
        <v>0</v>
      </c>
      <c r="G693">
        <f t="shared" si="21"/>
        <v>0</v>
      </c>
    </row>
    <row r="694" spans="6:7" x14ac:dyDescent="0.4">
      <c r="F694">
        <f t="shared" si="20"/>
        <v>0</v>
      </c>
      <c r="G694">
        <f t="shared" si="21"/>
        <v>0</v>
      </c>
    </row>
    <row r="695" spans="6:7" x14ac:dyDescent="0.4">
      <c r="F695">
        <f t="shared" si="20"/>
        <v>0</v>
      </c>
      <c r="G695">
        <f t="shared" si="21"/>
        <v>0</v>
      </c>
    </row>
    <row r="696" spans="6:7" x14ac:dyDescent="0.4">
      <c r="F696">
        <f t="shared" si="20"/>
        <v>0</v>
      </c>
      <c r="G696">
        <f t="shared" si="21"/>
        <v>0</v>
      </c>
    </row>
    <row r="697" spans="6:7" x14ac:dyDescent="0.4">
      <c r="F697">
        <f t="shared" si="20"/>
        <v>0</v>
      </c>
      <c r="G697">
        <f t="shared" si="21"/>
        <v>0</v>
      </c>
    </row>
    <row r="698" spans="6:7" x14ac:dyDescent="0.4">
      <c r="F698">
        <f t="shared" si="20"/>
        <v>0</v>
      </c>
      <c r="G698">
        <f t="shared" si="21"/>
        <v>0</v>
      </c>
    </row>
    <row r="699" spans="6:7" x14ac:dyDescent="0.4">
      <c r="F699">
        <f t="shared" si="20"/>
        <v>0</v>
      </c>
      <c r="G699">
        <f t="shared" si="21"/>
        <v>0</v>
      </c>
    </row>
    <row r="700" spans="6:7" x14ac:dyDescent="0.4">
      <c r="F700">
        <f t="shared" si="20"/>
        <v>0</v>
      </c>
      <c r="G700">
        <f t="shared" si="21"/>
        <v>0</v>
      </c>
    </row>
    <row r="701" spans="6:7" x14ac:dyDescent="0.4">
      <c r="F701">
        <f t="shared" si="20"/>
        <v>0</v>
      </c>
      <c r="G701">
        <f t="shared" si="21"/>
        <v>0</v>
      </c>
    </row>
    <row r="702" spans="6:7" x14ac:dyDescent="0.4">
      <c r="F702">
        <f t="shared" si="20"/>
        <v>0</v>
      </c>
      <c r="G702">
        <f t="shared" si="21"/>
        <v>0</v>
      </c>
    </row>
    <row r="703" spans="6:7" x14ac:dyDescent="0.4">
      <c r="F703">
        <f t="shared" si="20"/>
        <v>0</v>
      </c>
      <c r="G703">
        <f t="shared" si="21"/>
        <v>0</v>
      </c>
    </row>
    <row r="704" spans="6:7" x14ac:dyDescent="0.4">
      <c r="F704">
        <f t="shared" si="20"/>
        <v>0</v>
      </c>
      <c r="G704">
        <f t="shared" si="21"/>
        <v>0</v>
      </c>
    </row>
    <row r="705" spans="6:7" x14ac:dyDescent="0.4">
      <c r="F705">
        <f t="shared" si="20"/>
        <v>0</v>
      </c>
      <c r="G705">
        <f t="shared" si="21"/>
        <v>0</v>
      </c>
    </row>
    <row r="706" spans="6:7" x14ac:dyDescent="0.4">
      <c r="F706">
        <f t="shared" si="20"/>
        <v>0</v>
      </c>
      <c r="G706">
        <f t="shared" si="21"/>
        <v>0</v>
      </c>
    </row>
    <row r="707" spans="6:7" x14ac:dyDescent="0.4">
      <c r="F707">
        <f t="shared" ref="F707:F770" si="22">E707*D707</f>
        <v>0</v>
      </c>
      <c r="G707">
        <f t="shared" ref="G707:G770" si="23">F707-(F707*0.3)</f>
        <v>0</v>
      </c>
    </row>
    <row r="708" spans="6:7" x14ac:dyDescent="0.4">
      <c r="F708">
        <f t="shared" si="22"/>
        <v>0</v>
      </c>
      <c r="G708">
        <f t="shared" si="23"/>
        <v>0</v>
      </c>
    </row>
    <row r="709" spans="6:7" x14ac:dyDescent="0.4">
      <c r="F709">
        <f t="shared" si="22"/>
        <v>0</v>
      </c>
      <c r="G709">
        <f t="shared" si="23"/>
        <v>0</v>
      </c>
    </row>
    <row r="710" spans="6:7" x14ac:dyDescent="0.4">
      <c r="F710">
        <f t="shared" si="22"/>
        <v>0</v>
      </c>
      <c r="G710">
        <f t="shared" si="23"/>
        <v>0</v>
      </c>
    </row>
    <row r="711" spans="6:7" x14ac:dyDescent="0.4">
      <c r="F711">
        <f t="shared" si="22"/>
        <v>0</v>
      </c>
      <c r="G711">
        <f t="shared" si="23"/>
        <v>0</v>
      </c>
    </row>
    <row r="712" spans="6:7" x14ac:dyDescent="0.4">
      <c r="F712">
        <f t="shared" si="22"/>
        <v>0</v>
      </c>
      <c r="G712">
        <f t="shared" si="23"/>
        <v>0</v>
      </c>
    </row>
    <row r="713" spans="6:7" x14ac:dyDescent="0.4">
      <c r="F713">
        <f t="shared" si="22"/>
        <v>0</v>
      </c>
      <c r="G713">
        <f t="shared" si="23"/>
        <v>0</v>
      </c>
    </row>
    <row r="714" spans="6:7" x14ac:dyDescent="0.4">
      <c r="F714">
        <f t="shared" si="22"/>
        <v>0</v>
      </c>
      <c r="G714">
        <f t="shared" si="23"/>
        <v>0</v>
      </c>
    </row>
    <row r="715" spans="6:7" x14ac:dyDescent="0.4">
      <c r="F715">
        <f t="shared" si="22"/>
        <v>0</v>
      </c>
      <c r="G715">
        <f t="shared" si="23"/>
        <v>0</v>
      </c>
    </row>
    <row r="716" spans="6:7" x14ac:dyDescent="0.4">
      <c r="F716">
        <f t="shared" si="22"/>
        <v>0</v>
      </c>
      <c r="G716">
        <f t="shared" si="23"/>
        <v>0</v>
      </c>
    </row>
    <row r="717" spans="6:7" x14ac:dyDescent="0.4">
      <c r="F717">
        <f t="shared" si="22"/>
        <v>0</v>
      </c>
      <c r="G717">
        <f t="shared" si="23"/>
        <v>0</v>
      </c>
    </row>
    <row r="718" spans="6:7" x14ac:dyDescent="0.4">
      <c r="F718">
        <f t="shared" si="22"/>
        <v>0</v>
      </c>
      <c r="G718">
        <f t="shared" si="23"/>
        <v>0</v>
      </c>
    </row>
    <row r="719" spans="6:7" x14ac:dyDescent="0.4">
      <c r="F719">
        <f t="shared" si="22"/>
        <v>0</v>
      </c>
      <c r="G719">
        <f t="shared" si="23"/>
        <v>0</v>
      </c>
    </row>
    <row r="720" spans="6:7" x14ac:dyDescent="0.4">
      <c r="F720">
        <f t="shared" si="22"/>
        <v>0</v>
      </c>
      <c r="G720">
        <f t="shared" si="23"/>
        <v>0</v>
      </c>
    </row>
    <row r="721" spans="6:7" x14ac:dyDescent="0.4">
      <c r="F721">
        <f t="shared" si="22"/>
        <v>0</v>
      </c>
      <c r="G721">
        <f t="shared" si="23"/>
        <v>0</v>
      </c>
    </row>
    <row r="722" spans="6:7" x14ac:dyDescent="0.4">
      <c r="F722">
        <f t="shared" si="22"/>
        <v>0</v>
      </c>
      <c r="G722">
        <f t="shared" si="23"/>
        <v>0</v>
      </c>
    </row>
    <row r="723" spans="6:7" x14ac:dyDescent="0.4">
      <c r="F723">
        <f t="shared" si="22"/>
        <v>0</v>
      </c>
      <c r="G723">
        <f t="shared" si="23"/>
        <v>0</v>
      </c>
    </row>
    <row r="724" spans="6:7" x14ac:dyDescent="0.4">
      <c r="F724">
        <f t="shared" si="22"/>
        <v>0</v>
      </c>
      <c r="G724">
        <f t="shared" si="23"/>
        <v>0</v>
      </c>
    </row>
    <row r="725" spans="6:7" x14ac:dyDescent="0.4">
      <c r="F725">
        <f t="shared" si="22"/>
        <v>0</v>
      </c>
      <c r="G725">
        <f t="shared" si="23"/>
        <v>0</v>
      </c>
    </row>
    <row r="726" spans="6:7" x14ac:dyDescent="0.4">
      <c r="F726">
        <f t="shared" si="22"/>
        <v>0</v>
      </c>
      <c r="G726">
        <f t="shared" si="23"/>
        <v>0</v>
      </c>
    </row>
    <row r="727" spans="6:7" x14ac:dyDescent="0.4">
      <c r="F727">
        <f t="shared" si="22"/>
        <v>0</v>
      </c>
      <c r="G727">
        <f t="shared" si="23"/>
        <v>0</v>
      </c>
    </row>
    <row r="728" spans="6:7" x14ac:dyDescent="0.4">
      <c r="F728">
        <f t="shared" si="22"/>
        <v>0</v>
      </c>
      <c r="G728">
        <f t="shared" si="23"/>
        <v>0</v>
      </c>
    </row>
    <row r="729" spans="6:7" x14ac:dyDescent="0.4">
      <c r="F729">
        <f t="shared" si="22"/>
        <v>0</v>
      </c>
      <c r="G729">
        <f t="shared" si="23"/>
        <v>0</v>
      </c>
    </row>
    <row r="730" spans="6:7" x14ac:dyDescent="0.4">
      <c r="F730">
        <f t="shared" si="22"/>
        <v>0</v>
      </c>
      <c r="G730">
        <f t="shared" si="23"/>
        <v>0</v>
      </c>
    </row>
    <row r="731" spans="6:7" x14ac:dyDescent="0.4">
      <c r="F731">
        <f t="shared" si="22"/>
        <v>0</v>
      </c>
      <c r="G731">
        <f t="shared" si="23"/>
        <v>0</v>
      </c>
    </row>
    <row r="732" spans="6:7" x14ac:dyDescent="0.4">
      <c r="F732">
        <f t="shared" si="22"/>
        <v>0</v>
      </c>
      <c r="G732">
        <f t="shared" si="23"/>
        <v>0</v>
      </c>
    </row>
    <row r="733" spans="6:7" x14ac:dyDescent="0.4">
      <c r="F733">
        <f t="shared" si="22"/>
        <v>0</v>
      </c>
      <c r="G733">
        <f t="shared" si="23"/>
        <v>0</v>
      </c>
    </row>
    <row r="734" spans="6:7" x14ac:dyDescent="0.4">
      <c r="F734">
        <f t="shared" si="22"/>
        <v>0</v>
      </c>
      <c r="G734">
        <f t="shared" si="23"/>
        <v>0</v>
      </c>
    </row>
    <row r="735" spans="6:7" x14ac:dyDescent="0.4">
      <c r="F735">
        <f t="shared" si="22"/>
        <v>0</v>
      </c>
      <c r="G735">
        <f t="shared" si="23"/>
        <v>0</v>
      </c>
    </row>
    <row r="736" spans="6:7" x14ac:dyDescent="0.4">
      <c r="F736">
        <f t="shared" si="22"/>
        <v>0</v>
      </c>
      <c r="G736">
        <f t="shared" si="23"/>
        <v>0</v>
      </c>
    </row>
    <row r="737" spans="6:7" x14ac:dyDescent="0.4">
      <c r="F737">
        <f t="shared" si="22"/>
        <v>0</v>
      </c>
      <c r="G737">
        <f t="shared" si="23"/>
        <v>0</v>
      </c>
    </row>
    <row r="738" spans="6:7" x14ac:dyDescent="0.4">
      <c r="F738">
        <f t="shared" si="22"/>
        <v>0</v>
      </c>
      <c r="G738">
        <f t="shared" si="23"/>
        <v>0</v>
      </c>
    </row>
    <row r="739" spans="6:7" x14ac:dyDescent="0.4">
      <c r="F739">
        <f t="shared" si="22"/>
        <v>0</v>
      </c>
      <c r="G739">
        <f t="shared" si="23"/>
        <v>0</v>
      </c>
    </row>
    <row r="740" spans="6:7" x14ac:dyDescent="0.4">
      <c r="F740">
        <f t="shared" si="22"/>
        <v>0</v>
      </c>
      <c r="G740">
        <f t="shared" si="23"/>
        <v>0</v>
      </c>
    </row>
    <row r="741" spans="6:7" x14ac:dyDescent="0.4">
      <c r="F741">
        <f t="shared" si="22"/>
        <v>0</v>
      </c>
      <c r="G741">
        <f t="shared" si="23"/>
        <v>0</v>
      </c>
    </row>
    <row r="742" spans="6:7" x14ac:dyDescent="0.4">
      <c r="F742">
        <f t="shared" si="22"/>
        <v>0</v>
      </c>
      <c r="G742">
        <f t="shared" si="23"/>
        <v>0</v>
      </c>
    </row>
    <row r="743" spans="6:7" x14ac:dyDescent="0.4">
      <c r="F743">
        <f t="shared" si="22"/>
        <v>0</v>
      </c>
      <c r="G743">
        <f t="shared" si="23"/>
        <v>0</v>
      </c>
    </row>
    <row r="744" spans="6:7" x14ac:dyDescent="0.4">
      <c r="F744">
        <f t="shared" si="22"/>
        <v>0</v>
      </c>
      <c r="G744">
        <f t="shared" si="23"/>
        <v>0</v>
      </c>
    </row>
    <row r="745" spans="6:7" x14ac:dyDescent="0.4">
      <c r="F745">
        <f t="shared" si="22"/>
        <v>0</v>
      </c>
      <c r="G745">
        <f t="shared" si="23"/>
        <v>0</v>
      </c>
    </row>
    <row r="746" spans="6:7" x14ac:dyDescent="0.4">
      <c r="F746">
        <f t="shared" si="22"/>
        <v>0</v>
      </c>
      <c r="G746">
        <f t="shared" si="23"/>
        <v>0</v>
      </c>
    </row>
    <row r="747" spans="6:7" x14ac:dyDescent="0.4">
      <c r="F747">
        <f t="shared" si="22"/>
        <v>0</v>
      </c>
      <c r="G747">
        <f t="shared" si="23"/>
        <v>0</v>
      </c>
    </row>
    <row r="748" spans="6:7" x14ac:dyDescent="0.4">
      <c r="F748">
        <f t="shared" si="22"/>
        <v>0</v>
      </c>
      <c r="G748">
        <f t="shared" si="23"/>
        <v>0</v>
      </c>
    </row>
    <row r="749" spans="6:7" x14ac:dyDescent="0.4">
      <c r="F749">
        <f t="shared" si="22"/>
        <v>0</v>
      </c>
      <c r="G749">
        <f t="shared" si="23"/>
        <v>0</v>
      </c>
    </row>
    <row r="750" spans="6:7" x14ac:dyDescent="0.4">
      <c r="F750">
        <f t="shared" si="22"/>
        <v>0</v>
      </c>
      <c r="G750">
        <f t="shared" si="23"/>
        <v>0</v>
      </c>
    </row>
    <row r="751" spans="6:7" x14ac:dyDescent="0.4">
      <c r="F751">
        <f t="shared" si="22"/>
        <v>0</v>
      </c>
      <c r="G751">
        <f t="shared" si="23"/>
        <v>0</v>
      </c>
    </row>
    <row r="752" spans="6:7" x14ac:dyDescent="0.4">
      <c r="F752">
        <f t="shared" si="22"/>
        <v>0</v>
      </c>
      <c r="G752">
        <f t="shared" si="23"/>
        <v>0</v>
      </c>
    </row>
    <row r="753" spans="6:7" x14ac:dyDescent="0.4">
      <c r="F753">
        <f t="shared" si="22"/>
        <v>0</v>
      </c>
      <c r="G753">
        <f t="shared" si="23"/>
        <v>0</v>
      </c>
    </row>
    <row r="754" spans="6:7" x14ac:dyDescent="0.4">
      <c r="F754">
        <f t="shared" si="22"/>
        <v>0</v>
      </c>
      <c r="G754">
        <f t="shared" si="23"/>
        <v>0</v>
      </c>
    </row>
    <row r="755" spans="6:7" x14ac:dyDescent="0.4">
      <c r="F755">
        <f t="shared" si="22"/>
        <v>0</v>
      </c>
      <c r="G755">
        <f t="shared" si="23"/>
        <v>0</v>
      </c>
    </row>
    <row r="756" spans="6:7" x14ac:dyDescent="0.4">
      <c r="F756">
        <f t="shared" si="22"/>
        <v>0</v>
      </c>
      <c r="G756">
        <f t="shared" si="23"/>
        <v>0</v>
      </c>
    </row>
    <row r="757" spans="6:7" x14ac:dyDescent="0.4">
      <c r="F757">
        <f t="shared" si="22"/>
        <v>0</v>
      </c>
      <c r="G757">
        <f t="shared" si="23"/>
        <v>0</v>
      </c>
    </row>
    <row r="758" spans="6:7" x14ac:dyDescent="0.4">
      <c r="F758">
        <f t="shared" si="22"/>
        <v>0</v>
      </c>
      <c r="G758">
        <f t="shared" si="23"/>
        <v>0</v>
      </c>
    </row>
    <row r="759" spans="6:7" x14ac:dyDescent="0.4">
      <c r="F759">
        <f t="shared" si="22"/>
        <v>0</v>
      </c>
      <c r="G759">
        <f t="shared" si="23"/>
        <v>0</v>
      </c>
    </row>
    <row r="760" spans="6:7" x14ac:dyDescent="0.4">
      <c r="F760">
        <f t="shared" si="22"/>
        <v>0</v>
      </c>
      <c r="G760">
        <f t="shared" si="23"/>
        <v>0</v>
      </c>
    </row>
    <row r="761" spans="6:7" x14ac:dyDescent="0.4">
      <c r="F761">
        <f t="shared" si="22"/>
        <v>0</v>
      </c>
      <c r="G761">
        <f t="shared" si="23"/>
        <v>0</v>
      </c>
    </row>
    <row r="762" spans="6:7" x14ac:dyDescent="0.4">
      <c r="F762">
        <f t="shared" si="22"/>
        <v>0</v>
      </c>
      <c r="G762">
        <f t="shared" si="23"/>
        <v>0</v>
      </c>
    </row>
    <row r="763" spans="6:7" x14ac:dyDescent="0.4">
      <c r="F763">
        <f t="shared" si="22"/>
        <v>0</v>
      </c>
      <c r="G763">
        <f t="shared" si="23"/>
        <v>0</v>
      </c>
    </row>
    <row r="764" spans="6:7" x14ac:dyDescent="0.4">
      <c r="F764">
        <f t="shared" si="22"/>
        <v>0</v>
      </c>
      <c r="G764">
        <f t="shared" si="23"/>
        <v>0</v>
      </c>
    </row>
    <row r="765" spans="6:7" x14ac:dyDescent="0.4">
      <c r="F765">
        <f t="shared" si="22"/>
        <v>0</v>
      </c>
      <c r="G765">
        <f t="shared" si="23"/>
        <v>0</v>
      </c>
    </row>
    <row r="766" spans="6:7" x14ac:dyDescent="0.4">
      <c r="F766">
        <f t="shared" si="22"/>
        <v>0</v>
      </c>
      <c r="G766">
        <f t="shared" si="23"/>
        <v>0</v>
      </c>
    </row>
    <row r="767" spans="6:7" x14ac:dyDescent="0.4">
      <c r="F767">
        <f t="shared" si="22"/>
        <v>0</v>
      </c>
      <c r="G767">
        <f t="shared" si="23"/>
        <v>0</v>
      </c>
    </row>
    <row r="768" spans="6:7" x14ac:dyDescent="0.4">
      <c r="F768">
        <f t="shared" si="22"/>
        <v>0</v>
      </c>
      <c r="G768">
        <f t="shared" si="23"/>
        <v>0</v>
      </c>
    </row>
    <row r="769" spans="6:7" x14ac:dyDescent="0.4">
      <c r="F769">
        <f t="shared" si="22"/>
        <v>0</v>
      </c>
      <c r="G769">
        <f t="shared" si="23"/>
        <v>0</v>
      </c>
    </row>
    <row r="770" spans="6:7" x14ac:dyDescent="0.4">
      <c r="F770">
        <f t="shared" si="22"/>
        <v>0</v>
      </c>
      <c r="G770">
        <f t="shared" si="23"/>
        <v>0</v>
      </c>
    </row>
    <row r="771" spans="6:7" x14ac:dyDescent="0.4">
      <c r="F771">
        <f t="shared" ref="F771:F834" si="24">E771*D771</f>
        <v>0</v>
      </c>
      <c r="G771">
        <f t="shared" ref="G771:G834" si="25">F771-(F771*0.3)</f>
        <v>0</v>
      </c>
    </row>
    <row r="772" spans="6:7" x14ac:dyDescent="0.4">
      <c r="F772">
        <f t="shared" si="24"/>
        <v>0</v>
      </c>
      <c r="G772">
        <f t="shared" si="25"/>
        <v>0</v>
      </c>
    </row>
    <row r="773" spans="6:7" x14ac:dyDescent="0.4">
      <c r="F773">
        <f t="shared" si="24"/>
        <v>0</v>
      </c>
      <c r="G773">
        <f t="shared" si="25"/>
        <v>0</v>
      </c>
    </row>
    <row r="774" spans="6:7" x14ac:dyDescent="0.4">
      <c r="F774">
        <f t="shared" si="24"/>
        <v>0</v>
      </c>
      <c r="G774">
        <f t="shared" si="25"/>
        <v>0</v>
      </c>
    </row>
    <row r="775" spans="6:7" x14ac:dyDescent="0.4">
      <c r="F775">
        <f t="shared" si="24"/>
        <v>0</v>
      </c>
      <c r="G775">
        <f t="shared" si="25"/>
        <v>0</v>
      </c>
    </row>
    <row r="776" spans="6:7" x14ac:dyDescent="0.4">
      <c r="F776">
        <f t="shared" si="24"/>
        <v>0</v>
      </c>
      <c r="G776">
        <f t="shared" si="25"/>
        <v>0</v>
      </c>
    </row>
    <row r="777" spans="6:7" x14ac:dyDescent="0.4">
      <c r="F777">
        <f t="shared" si="24"/>
        <v>0</v>
      </c>
      <c r="G777">
        <f t="shared" si="25"/>
        <v>0</v>
      </c>
    </row>
    <row r="778" spans="6:7" x14ac:dyDescent="0.4">
      <c r="F778">
        <f t="shared" si="24"/>
        <v>0</v>
      </c>
      <c r="G778">
        <f t="shared" si="25"/>
        <v>0</v>
      </c>
    </row>
    <row r="779" spans="6:7" x14ac:dyDescent="0.4">
      <c r="F779">
        <f t="shared" si="24"/>
        <v>0</v>
      </c>
      <c r="G779">
        <f t="shared" si="25"/>
        <v>0</v>
      </c>
    </row>
    <row r="780" spans="6:7" x14ac:dyDescent="0.4">
      <c r="F780">
        <f t="shared" si="24"/>
        <v>0</v>
      </c>
      <c r="G780">
        <f t="shared" si="25"/>
        <v>0</v>
      </c>
    </row>
    <row r="781" spans="6:7" x14ac:dyDescent="0.4">
      <c r="F781">
        <f t="shared" si="24"/>
        <v>0</v>
      </c>
      <c r="G781">
        <f t="shared" si="25"/>
        <v>0</v>
      </c>
    </row>
    <row r="782" spans="6:7" x14ac:dyDescent="0.4">
      <c r="F782">
        <f t="shared" si="24"/>
        <v>0</v>
      </c>
      <c r="G782">
        <f t="shared" si="25"/>
        <v>0</v>
      </c>
    </row>
    <row r="783" spans="6:7" x14ac:dyDescent="0.4">
      <c r="F783">
        <f t="shared" si="24"/>
        <v>0</v>
      </c>
      <c r="G783">
        <f t="shared" si="25"/>
        <v>0</v>
      </c>
    </row>
    <row r="784" spans="6:7" x14ac:dyDescent="0.4">
      <c r="F784">
        <f t="shared" si="24"/>
        <v>0</v>
      </c>
      <c r="G784">
        <f t="shared" si="25"/>
        <v>0</v>
      </c>
    </row>
    <row r="785" spans="6:7" x14ac:dyDescent="0.4">
      <c r="F785">
        <f t="shared" si="24"/>
        <v>0</v>
      </c>
      <c r="G785">
        <f t="shared" si="25"/>
        <v>0</v>
      </c>
    </row>
    <row r="786" spans="6:7" x14ac:dyDescent="0.4">
      <c r="F786">
        <f t="shared" si="24"/>
        <v>0</v>
      </c>
      <c r="G786">
        <f t="shared" si="25"/>
        <v>0</v>
      </c>
    </row>
    <row r="787" spans="6:7" x14ac:dyDescent="0.4">
      <c r="F787">
        <f t="shared" si="24"/>
        <v>0</v>
      </c>
      <c r="G787">
        <f t="shared" si="25"/>
        <v>0</v>
      </c>
    </row>
    <row r="788" spans="6:7" x14ac:dyDescent="0.4">
      <c r="F788">
        <f t="shared" si="24"/>
        <v>0</v>
      </c>
      <c r="G788">
        <f t="shared" si="25"/>
        <v>0</v>
      </c>
    </row>
    <row r="789" spans="6:7" x14ac:dyDescent="0.4">
      <c r="F789">
        <f t="shared" si="24"/>
        <v>0</v>
      </c>
      <c r="G789">
        <f t="shared" si="25"/>
        <v>0</v>
      </c>
    </row>
    <row r="790" spans="6:7" x14ac:dyDescent="0.4">
      <c r="F790">
        <f t="shared" si="24"/>
        <v>0</v>
      </c>
      <c r="G790">
        <f t="shared" si="25"/>
        <v>0</v>
      </c>
    </row>
    <row r="791" spans="6:7" x14ac:dyDescent="0.4">
      <c r="F791">
        <f t="shared" si="24"/>
        <v>0</v>
      </c>
      <c r="G791">
        <f t="shared" si="25"/>
        <v>0</v>
      </c>
    </row>
    <row r="792" spans="6:7" x14ac:dyDescent="0.4">
      <c r="F792">
        <f t="shared" si="24"/>
        <v>0</v>
      </c>
      <c r="G792">
        <f t="shared" si="25"/>
        <v>0</v>
      </c>
    </row>
    <row r="793" spans="6:7" x14ac:dyDescent="0.4">
      <c r="F793">
        <f t="shared" si="24"/>
        <v>0</v>
      </c>
      <c r="G793">
        <f t="shared" si="25"/>
        <v>0</v>
      </c>
    </row>
    <row r="794" spans="6:7" x14ac:dyDescent="0.4">
      <c r="F794">
        <f t="shared" si="24"/>
        <v>0</v>
      </c>
      <c r="G794">
        <f t="shared" si="25"/>
        <v>0</v>
      </c>
    </row>
    <row r="795" spans="6:7" x14ac:dyDescent="0.4">
      <c r="F795">
        <f t="shared" si="24"/>
        <v>0</v>
      </c>
      <c r="G795">
        <f t="shared" si="25"/>
        <v>0</v>
      </c>
    </row>
    <row r="796" spans="6:7" x14ac:dyDescent="0.4">
      <c r="F796">
        <f t="shared" si="24"/>
        <v>0</v>
      </c>
      <c r="G796">
        <f t="shared" si="25"/>
        <v>0</v>
      </c>
    </row>
    <row r="797" spans="6:7" x14ac:dyDescent="0.4">
      <c r="F797">
        <f t="shared" si="24"/>
        <v>0</v>
      </c>
      <c r="G797">
        <f t="shared" si="25"/>
        <v>0</v>
      </c>
    </row>
    <row r="798" spans="6:7" x14ac:dyDescent="0.4">
      <c r="F798">
        <f t="shared" si="24"/>
        <v>0</v>
      </c>
      <c r="G798">
        <f t="shared" si="25"/>
        <v>0</v>
      </c>
    </row>
    <row r="799" spans="6:7" x14ac:dyDescent="0.4">
      <c r="F799">
        <f t="shared" si="24"/>
        <v>0</v>
      </c>
      <c r="G799">
        <f t="shared" si="25"/>
        <v>0</v>
      </c>
    </row>
    <row r="800" spans="6:7" x14ac:dyDescent="0.4">
      <c r="F800">
        <f t="shared" si="24"/>
        <v>0</v>
      </c>
      <c r="G800">
        <f t="shared" si="25"/>
        <v>0</v>
      </c>
    </row>
    <row r="801" spans="6:7" x14ac:dyDescent="0.4">
      <c r="F801">
        <f t="shared" si="24"/>
        <v>0</v>
      </c>
      <c r="G801">
        <f t="shared" si="25"/>
        <v>0</v>
      </c>
    </row>
    <row r="802" spans="6:7" x14ac:dyDescent="0.4">
      <c r="F802">
        <f t="shared" si="24"/>
        <v>0</v>
      </c>
      <c r="G802">
        <f t="shared" si="25"/>
        <v>0</v>
      </c>
    </row>
    <row r="803" spans="6:7" x14ac:dyDescent="0.4">
      <c r="F803">
        <f t="shared" si="24"/>
        <v>0</v>
      </c>
      <c r="G803">
        <f t="shared" si="25"/>
        <v>0</v>
      </c>
    </row>
    <row r="804" spans="6:7" x14ac:dyDescent="0.4">
      <c r="F804">
        <f t="shared" si="24"/>
        <v>0</v>
      </c>
      <c r="G804">
        <f t="shared" si="25"/>
        <v>0</v>
      </c>
    </row>
    <row r="805" spans="6:7" x14ac:dyDescent="0.4">
      <c r="F805">
        <f t="shared" si="24"/>
        <v>0</v>
      </c>
      <c r="G805">
        <f t="shared" si="25"/>
        <v>0</v>
      </c>
    </row>
    <row r="806" spans="6:7" x14ac:dyDescent="0.4">
      <c r="F806">
        <f t="shared" si="24"/>
        <v>0</v>
      </c>
      <c r="G806">
        <f t="shared" si="25"/>
        <v>0</v>
      </c>
    </row>
    <row r="807" spans="6:7" x14ac:dyDescent="0.4">
      <c r="F807">
        <f t="shared" si="24"/>
        <v>0</v>
      </c>
      <c r="G807">
        <f t="shared" si="25"/>
        <v>0</v>
      </c>
    </row>
    <row r="808" spans="6:7" x14ac:dyDescent="0.4">
      <c r="F808">
        <f t="shared" si="24"/>
        <v>0</v>
      </c>
      <c r="G808">
        <f t="shared" si="25"/>
        <v>0</v>
      </c>
    </row>
    <row r="809" spans="6:7" x14ac:dyDescent="0.4">
      <c r="F809">
        <f t="shared" si="24"/>
        <v>0</v>
      </c>
      <c r="G809">
        <f t="shared" si="25"/>
        <v>0</v>
      </c>
    </row>
    <row r="810" spans="6:7" x14ac:dyDescent="0.4">
      <c r="F810">
        <f t="shared" si="24"/>
        <v>0</v>
      </c>
      <c r="G810">
        <f t="shared" si="25"/>
        <v>0</v>
      </c>
    </row>
    <row r="811" spans="6:7" x14ac:dyDescent="0.4">
      <c r="F811">
        <f t="shared" si="24"/>
        <v>0</v>
      </c>
      <c r="G811">
        <f t="shared" si="25"/>
        <v>0</v>
      </c>
    </row>
    <row r="812" spans="6:7" x14ac:dyDescent="0.4">
      <c r="F812">
        <f t="shared" si="24"/>
        <v>0</v>
      </c>
      <c r="G812">
        <f t="shared" si="25"/>
        <v>0</v>
      </c>
    </row>
    <row r="813" spans="6:7" x14ac:dyDescent="0.4">
      <c r="F813">
        <f t="shared" si="24"/>
        <v>0</v>
      </c>
      <c r="G813">
        <f t="shared" si="25"/>
        <v>0</v>
      </c>
    </row>
    <row r="814" spans="6:7" x14ac:dyDescent="0.4">
      <c r="F814">
        <f t="shared" si="24"/>
        <v>0</v>
      </c>
      <c r="G814">
        <f t="shared" si="25"/>
        <v>0</v>
      </c>
    </row>
    <row r="815" spans="6:7" x14ac:dyDescent="0.4">
      <c r="F815">
        <f t="shared" si="24"/>
        <v>0</v>
      </c>
      <c r="G815">
        <f t="shared" si="25"/>
        <v>0</v>
      </c>
    </row>
    <row r="816" spans="6:7" x14ac:dyDescent="0.4">
      <c r="F816">
        <f t="shared" si="24"/>
        <v>0</v>
      </c>
      <c r="G816">
        <f t="shared" si="25"/>
        <v>0</v>
      </c>
    </row>
    <row r="817" spans="6:7" x14ac:dyDescent="0.4">
      <c r="F817">
        <f t="shared" si="24"/>
        <v>0</v>
      </c>
      <c r="G817">
        <f t="shared" si="25"/>
        <v>0</v>
      </c>
    </row>
    <row r="818" spans="6:7" x14ac:dyDescent="0.4">
      <c r="F818">
        <f t="shared" si="24"/>
        <v>0</v>
      </c>
      <c r="G818">
        <f t="shared" si="25"/>
        <v>0</v>
      </c>
    </row>
    <row r="819" spans="6:7" x14ac:dyDescent="0.4">
      <c r="F819">
        <f t="shared" si="24"/>
        <v>0</v>
      </c>
      <c r="G819">
        <f t="shared" si="25"/>
        <v>0</v>
      </c>
    </row>
    <row r="820" spans="6:7" x14ac:dyDescent="0.4">
      <c r="F820">
        <f t="shared" si="24"/>
        <v>0</v>
      </c>
      <c r="G820">
        <f t="shared" si="25"/>
        <v>0</v>
      </c>
    </row>
    <row r="821" spans="6:7" x14ac:dyDescent="0.4">
      <c r="F821">
        <f t="shared" si="24"/>
        <v>0</v>
      </c>
      <c r="G821">
        <f t="shared" si="25"/>
        <v>0</v>
      </c>
    </row>
    <row r="822" spans="6:7" x14ac:dyDescent="0.4">
      <c r="F822">
        <f t="shared" si="24"/>
        <v>0</v>
      </c>
      <c r="G822">
        <f t="shared" si="25"/>
        <v>0</v>
      </c>
    </row>
    <row r="823" spans="6:7" x14ac:dyDescent="0.4">
      <c r="F823">
        <f t="shared" si="24"/>
        <v>0</v>
      </c>
      <c r="G823">
        <f t="shared" si="25"/>
        <v>0</v>
      </c>
    </row>
    <row r="824" spans="6:7" x14ac:dyDescent="0.4">
      <c r="F824">
        <f t="shared" si="24"/>
        <v>0</v>
      </c>
      <c r="G824">
        <f t="shared" si="25"/>
        <v>0</v>
      </c>
    </row>
    <row r="825" spans="6:7" x14ac:dyDescent="0.4">
      <c r="F825">
        <f t="shared" si="24"/>
        <v>0</v>
      </c>
      <c r="G825">
        <f t="shared" si="25"/>
        <v>0</v>
      </c>
    </row>
    <row r="826" spans="6:7" x14ac:dyDescent="0.4">
      <c r="F826">
        <f t="shared" si="24"/>
        <v>0</v>
      </c>
      <c r="G826">
        <f t="shared" si="25"/>
        <v>0</v>
      </c>
    </row>
    <row r="827" spans="6:7" x14ac:dyDescent="0.4">
      <c r="F827">
        <f t="shared" si="24"/>
        <v>0</v>
      </c>
      <c r="G827">
        <f t="shared" si="25"/>
        <v>0</v>
      </c>
    </row>
    <row r="828" spans="6:7" x14ac:dyDescent="0.4">
      <c r="F828">
        <f t="shared" si="24"/>
        <v>0</v>
      </c>
      <c r="G828">
        <f t="shared" si="25"/>
        <v>0</v>
      </c>
    </row>
    <row r="829" spans="6:7" x14ac:dyDescent="0.4">
      <c r="F829">
        <f t="shared" si="24"/>
        <v>0</v>
      </c>
      <c r="G829">
        <f t="shared" si="25"/>
        <v>0</v>
      </c>
    </row>
    <row r="830" spans="6:7" x14ac:dyDescent="0.4">
      <c r="F830">
        <f t="shared" si="24"/>
        <v>0</v>
      </c>
      <c r="G830">
        <f t="shared" si="25"/>
        <v>0</v>
      </c>
    </row>
    <row r="831" spans="6:7" x14ac:dyDescent="0.4">
      <c r="F831">
        <f t="shared" si="24"/>
        <v>0</v>
      </c>
      <c r="G831">
        <f t="shared" si="25"/>
        <v>0</v>
      </c>
    </row>
    <row r="832" spans="6:7" x14ac:dyDescent="0.4">
      <c r="F832">
        <f t="shared" si="24"/>
        <v>0</v>
      </c>
      <c r="G832">
        <f t="shared" si="25"/>
        <v>0</v>
      </c>
    </row>
    <row r="833" spans="6:7" x14ac:dyDescent="0.4">
      <c r="F833">
        <f t="shared" si="24"/>
        <v>0</v>
      </c>
      <c r="G833">
        <f t="shared" si="25"/>
        <v>0</v>
      </c>
    </row>
    <row r="834" spans="6:7" x14ac:dyDescent="0.4">
      <c r="F834">
        <f t="shared" si="24"/>
        <v>0</v>
      </c>
      <c r="G834">
        <f t="shared" si="25"/>
        <v>0</v>
      </c>
    </row>
    <row r="835" spans="6:7" x14ac:dyDescent="0.4">
      <c r="F835">
        <f t="shared" ref="F835:F898" si="26">E835*D835</f>
        <v>0</v>
      </c>
      <c r="G835">
        <f t="shared" ref="G835:G898" si="27">F835-(F835*0.3)</f>
        <v>0</v>
      </c>
    </row>
    <row r="836" spans="6:7" x14ac:dyDescent="0.4">
      <c r="F836">
        <f t="shared" si="26"/>
        <v>0</v>
      </c>
      <c r="G836">
        <f t="shared" si="27"/>
        <v>0</v>
      </c>
    </row>
    <row r="837" spans="6:7" x14ac:dyDescent="0.4">
      <c r="F837">
        <f t="shared" si="26"/>
        <v>0</v>
      </c>
      <c r="G837">
        <f t="shared" si="27"/>
        <v>0</v>
      </c>
    </row>
    <row r="838" spans="6:7" x14ac:dyDescent="0.4">
      <c r="F838">
        <f t="shared" si="26"/>
        <v>0</v>
      </c>
      <c r="G838">
        <f t="shared" si="27"/>
        <v>0</v>
      </c>
    </row>
    <row r="839" spans="6:7" x14ac:dyDescent="0.4">
      <c r="F839">
        <f t="shared" si="26"/>
        <v>0</v>
      </c>
      <c r="G839">
        <f t="shared" si="27"/>
        <v>0</v>
      </c>
    </row>
    <row r="840" spans="6:7" x14ac:dyDescent="0.4">
      <c r="F840">
        <f t="shared" si="26"/>
        <v>0</v>
      </c>
      <c r="G840">
        <f t="shared" si="27"/>
        <v>0</v>
      </c>
    </row>
    <row r="841" spans="6:7" x14ac:dyDescent="0.4">
      <c r="F841">
        <f t="shared" si="26"/>
        <v>0</v>
      </c>
      <c r="G841">
        <f t="shared" si="27"/>
        <v>0</v>
      </c>
    </row>
    <row r="842" spans="6:7" x14ac:dyDescent="0.4">
      <c r="F842">
        <f t="shared" si="26"/>
        <v>0</v>
      </c>
      <c r="G842">
        <f t="shared" si="27"/>
        <v>0</v>
      </c>
    </row>
    <row r="843" spans="6:7" x14ac:dyDescent="0.4">
      <c r="F843">
        <f t="shared" si="26"/>
        <v>0</v>
      </c>
      <c r="G843">
        <f t="shared" si="27"/>
        <v>0</v>
      </c>
    </row>
    <row r="844" spans="6:7" x14ac:dyDescent="0.4">
      <c r="F844">
        <f t="shared" si="26"/>
        <v>0</v>
      </c>
      <c r="G844">
        <f t="shared" si="27"/>
        <v>0</v>
      </c>
    </row>
    <row r="845" spans="6:7" x14ac:dyDescent="0.4">
      <c r="F845">
        <f t="shared" si="26"/>
        <v>0</v>
      </c>
      <c r="G845">
        <f t="shared" si="27"/>
        <v>0</v>
      </c>
    </row>
    <row r="846" spans="6:7" x14ac:dyDescent="0.4">
      <c r="F846">
        <f t="shared" si="26"/>
        <v>0</v>
      </c>
      <c r="G846">
        <f t="shared" si="27"/>
        <v>0</v>
      </c>
    </row>
    <row r="847" spans="6:7" x14ac:dyDescent="0.4">
      <c r="F847">
        <f t="shared" si="26"/>
        <v>0</v>
      </c>
      <c r="G847">
        <f t="shared" si="27"/>
        <v>0</v>
      </c>
    </row>
    <row r="848" spans="6:7" x14ac:dyDescent="0.4">
      <c r="F848">
        <f t="shared" si="26"/>
        <v>0</v>
      </c>
      <c r="G848">
        <f t="shared" si="27"/>
        <v>0</v>
      </c>
    </row>
    <row r="849" spans="6:7" x14ac:dyDescent="0.4">
      <c r="F849">
        <f t="shared" si="26"/>
        <v>0</v>
      </c>
      <c r="G849">
        <f t="shared" si="27"/>
        <v>0</v>
      </c>
    </row>
    <row r="850" spans="6:7" x14ac:dyDescent="0.4">
      <c r="F850">
        <f t="shared" si="26"/>
        <v>0</v>
      </c>
      <c r="G850">
        <f t="shared" si="27"/>
        <v>0</v>
      </c>
    </row>
    <row r="851" spans="6:7" x14ac:dyDescent="0.4">
      <c r="F851">
        <f t="shared" si="26"/>
        <v>0</v>
      </c>
      <c r="G851">
        <f t="shared" si="27"/>
        <v>0</v>
      </c>
    </row>
    <row r="852" spans="6:7" x14ac:dyDescent="0.4">
      <c r="F852">
        <f t="shared" si="26"/>
        <v>0</v>
      </c>
      <c r="G852">
        <f t="shared" si="27"/>
        <v>0</v>
      </c>
    </row>
    <row r="853" spans="6:7" x14ac:dyDescent="0.4">
      <c r="F853">
        <f t="shared" si="26"/>
        <v>0</v>
      </c>
      <c r="G853">
        <f t="shared" si="27"/>
        <v>0</v>
      </c>
    </row>
    <row r="854" spans="6:7" x14ac:dyDescent="0.4">
      <c r="F854">
        <f t="shared" si="26"/>
        <v>0</v>
      </c>
      <c r="G854">
        <f t="shared" si="27"/>
        <v>0</v>
      </c>
    </row>
    <row r="855" spans="6:7" x14ac:dyDescent="0.4">
      <c r="F855">
        <f t="shared" si="26"/>
        <v>0</v>
      </c>
      <c r="G855">
        <f t="shared" si="27"/>
        <v>0</v>
      </c>
    </row>
    <row r="856" spans="6:7" x14ac:dyDescent="0.4">
      <c r="F856">
        <f t="shared" si="26"/>
        <v>0</v>
      </c>
      <c r="G856">
        <f t="shared" si="27"/>
        <v>0</v>
      </c>
    </row>
    <row r="857" spans="6:7" x14ac:dyDescent="0.4">
      <c r="F857">
        <f t="shared" si="26"/>
        <v>0</v>
      </c>
      <c r="G857">
        <f t="shared" si="27"/>
        <v>0</v>
      </c>
    </row>
    <row r="858" spans="6:7" x14ac:dyDescent="0.4">
      <c r="F858">
        <f t="shared" si="26"/>
        <v>0</v>
      </c>
      <c r="G858">
        <f t="shared" si="27"/>
        <v>0</v>
      </c>
    </row>
    <row r="859" spans="6:7" x14ac:dyDescent="0.4">
      <c r="F859">
        <f t="shared" si="26"/>
        <v>0</v>
      </c>
      <c r="G859">
        <f t="shared" si="27"/>
        <v>0</v>
      </c>
    </row>
    <row r="860" spans="6:7" x14ac:dyDescent="0.4">
      <c r="F860">
        <f t="shared" si="26"/>
        <v>0</v>
      </c>
      <c r="G860">
        <f t="shared" si="27"/>
        <v>0</v>
      </c>
    </row>
    <row r="861" spans="6:7" x14ac:dyDescent="0.4">
      <c r="F861">
        <f t="shared" si="26"/>
        <v>0</v>
      </c>
      <c r="G861">
        <f t="shared" si="27"/>
        <v>0</v>
      </c>
    </row>
    <row r="862" spans="6:7" x14ac:dyDescent="0.4">
      <c r="F862">
        <f t="shared" si="26"/>
        <v>0</v>
      </c>
      <c r="G862">
        <f t="shared" si="27"/>
        <v>0</v>
      </c>
    </row>
    <row r="863" spans="6:7" x14ac:dyDescent="0.4">
      <c r="F863">
        <f t="shared" si="26"/>
        <v>0</v>
      </c>
      <c r="G863">
        <f t="shared" si="27"/>
        <v>0</v>
      </c>
    </row>
    <row r="864" spans="6:7" x14ac:dyDescent="0.4">
      <c r="F864">
        <f t="shared" si="26"/>
        <v>0</v>
      </c>
      <c r="G864">
        <f t="shared" si="27"/>
        <v>0</v>
      </c>
    </row>
    <row r="865" spans="6:7" x14ac:dyDescent="0.4">
      <c r="F865">
        <f t="shared" si="26"/>
        <v>0</v>
      </c>
      <c r="G865">
        <f t="shared" si="27"/>
        <v>0</v>
      </c>
    </row>
    <row r="866" spans="6:7" x14ac:dyDescent="0.4">
      <c r="F866">
        <f t="shared" si="26"/>
        <v>0</v>
      </c>
      <c r="G866">
        <f t="shared" si="27"/>
        <v>0</v>
      </c>
    </row>
    <row r="867" spans="6:7" x14ac:dyDescent="0.4">
      <c r="F867">
        <f t="shared" si="26"/>
        <v>0</v>
      </c>
      <c r="G867">
        <f t="shared" si="27"/>
        <v>0</v>
      </c>
    </row>
    <row r="868" spans="6:7" x14ac:dyDescent="0.4">
      <c r="F868">
        <f t="shared" si="26"/>
        <v>0</v>
      </c>
      <c r="G868">
        <f t="shared" si="27"/>
        <v>0</v>
      </c>
    </row>
    <row r="869" spans="6:7" x14ac:dyDescent="0.4">
      <c r="F869">
        <f t="shared" si="26"/>
        <v>0</v>
      </c>
      <c r="G869">
        <f t="shared" si="27"/>
        <v>0</v>
      </c>
    </row>
    <row r="870" spans="6:7" x14ac:dyDescent="0.4">
      <c r="F870">
        <f t="shared" si="26"/>
        <v>0</v>
      </c>
      <c r="G870">
        <f t="shared" si="27"/>
        <v>0</v>
      </c>
    </row>
    <row r="871" spans="6:7" x14ac:dyDescent="0.4">
      <c r="F871">
        <f t="shared" si="26"/>
        <v>0</v>
      </c>
      <c r="G871">
        <f t="shared" si="27"/>
        <v>0</v>
      </c>
    </row>
    <row r="872" spans="6:7" x14ac:dyDescent="0.4">
      <c r="F872">
        <f t="shared" si="26"/>
        <v>0</v>
      </c>
      <c r="G872">
        <f t="shared" si="27"/>
        <v>0</v>
      </c>
    </row>
    <row r="873" spans="6:7" x14ac:dyDescent="0.4">
      <c r="F873">
        <f t="shared" si="26"/>
        <v>0</v>
      </c>
      <c r="G873">
        <f t="shared" si="27"/>
        <v>0</v>
      </c>
    </row>
    <row r="874" spans="6:7" x14ac:dyDescent="0.4">
      <c r="F874">
        <f t="shared" si="26"/>
        <v>0</v>
      </c>
      <c r="G874">
        <f t="shared" si="27"/>
        <v>0</v>
      </c>
    </row>
    <row r="875" spans="6:7" x14ac:dyDescent="0.4">
      <c r="F875">
        <f t="shared" si="26"/>
        <v>0</v>
      </c>
      <c r="G875">
        <f t="shared" si="27"/>
        <v>0</v>
      </c>
    </row>
    <row r="876" spans="6:7" x14ac:dyDescent="0.4">
      <c r="F876">
        <f t="shared" si="26"/>
        <v>0</v>
      </c>
      <c r="G876">
        <f t="shared" si="27"/>
        <v>0</v>
      </c>
    </row>
    <row r="877" spans="6:7" x14ac:dyDescent="0.4">
      <c r="F877">
        <f t="shared" si="26"/>
        <v>0</v>
      </c>
      <c r="G877">
        <f t="shared" si="27"/>
        <v>0</v>
      </c>
    </row>
    <row r="878" spans="6:7" x14ac:dyDescent="0.4">
      <c r="F878">
        <f t="shared" si="26"/>
        <v>0</v>
      </c>
      <c r="G878">
        <f t="shared" si="27"/>
        <v>0</v>
      </c>
    </row>
    <row r="879" spans="6:7" x14ac:dyDescent="0.4">
      <c r="F879">
        <f t="shared" si="26"/>
        <v>0</v>
      </c>
      <c r="G879">
        <f t="shared" si="27"/>
        <v>0</v>
      </c>
    </row>
    <row r="880" spans="6:7" x14ac:dyDescent="0.4">
      <c r="F880">
        <f t="shared" si="26"/>
        <v>0</v>
      </c>
      <c r="G880">
        <f t="shared" si="27"/>
        <v>0</v>
      </c>
    </row>
    <row r="881" spans="6:7" x14ac:dyDescent="0.4">
      <c r="F881">
        <f t="shared" si="26"/>
        <v>0</v>
      </c>
      <c r="G881">
        <f t="shared" si="27"/>
        <v>0</v>
      </c>
    </row>
    <row r="882" spans="6:7" x14ac:dyDescent="0.4">
      <c r="F882">
        <f t="shared" si="26"/>
        <v>0</v>
      </c>
      <c r="G882">
        <f t="shared" si="27"/>
        <v>0</v>
      </c>
    </row>
    <row r="883" spans="6:7" x14ac:dyDescent="0.4">
      <c r="F883">
        <f t="shared" si="26"/>
        <v>0</v>
      </c>
      <c r="G883">
        <f t="shared" si="27"/>
        <v>0</v>
      </c>
    </row>
    <row r="884" spans="6:7" x14ac:dyDescent="0.4">
      <c r="F884">
        <f t="shared" si="26"/>
        <v>0</v>
      </c>
      <c r="G884">
        <f t="shared" si="27"/>
        <v>0</v>
      </c>
    </row>
    <row r="885" spans="6:7" x14ac:dyDescent="0.4">
      <c r="F885">
        <f t="shared" si="26"/>
        <v>0</v>
      </c>
      <c r="G885">
        <f t="shared" si="27"/>
        <v>0</v>
      </c>
    </row>
    <row r="886" spans="6:7" x14ac:dyDescent="0.4">
      <c r="F886">
        <f t="shared" si="26"/>
        <v>0</v>
      </c>
      <c r="G886">
        <f t="shared" si="27"/>
        <v>0</v>
      </c>
    </row>
    <row r="887" spans="6:7" x14ac:dyDescent="0.4">
      <c r="F887">
        <f t="shared" si="26"/>
        <v>0</v>
      </c>
      <c r="G887">
        <f t="shared" si="27"/>
        <v>0</v>
      </c>
    </row>
    <row r="888" spans="6:7" x14ac:dyDescent="0.4">
      <c r="F888">
        <f t="shared" si="26"/>
        <v>0</v>
      </c>
      <c r="G888">
        <f t="shared" si="27"/>
        <v>0</v>
      </c>
    </row>
    <row r="889" spans="6:7" x14ac:dyDescent="0.4">
      <c r="F889">
        <f t="shared" si="26"/>
        <v>0</v>
      </c>
      <c r="G889">
        <f t="shared" si="27"/>
        <v>0</v>
      </c>
    </row>
    <row r="890" spans="6:7" x14ac:dyDescent="0.4">
      <c r="F890">
        <f t="shared" si="26"/>
        <v>0</v>
      </c>
      <c r="G890">
        <f t="shared" si="27"/>
        <v>0</v>
      </c>
    </row>
    <row r="891" spans="6:7" x14ac:dyDescent="0.4">
      <c r="F891">
        <f t="shared" si="26"/>
        <v>0</v>
      </c>
      <c r="G891">
        <f t="shared" si="27"/>
        <v>0</v>
      </c>
    </row>
    <row r="892" spans="6:7" x14ac:dyDescent="0.4">
      <c r="F892">
        <f t="shared" si="26"/>
        <v>0</v>
      </c>
      <c r="G892">
        <f t="shared" si="27"/>
        <v>0</v>
      </c>
    </row>
    <row r="893" spans="6:7" x14ac:dyDescent="0.4">
      <c r="F893">
        <f t="shared" si="26"/>
        <v>0</v>
      </c>
      <c r="G893">
        <f t="shared" si="27"/>
        <v>0</v>
      </c>
    </row>
    <row r="894" spans="6:7" x14ac:dyDescent="0.4">
      <c r="F894">
        <f t="shared" si="26"/>
        <v>0</v>
      </c>
      <c r="G894">
        <f t="shared" si="27"/>
        <v>0</v>
      </c>
    </row>
    <row r="895" spans="6:7" x14ac:dyDescent="0.4">
      <c r="F895">
        <f t="shared" si="26"/>
        <v>0</v>
      </c>
      <c r="G895">
        <f t="shared" si="27"/>
        <v>0</v>
      </c>
    </row>
    <row r="896" spans="6:7" x14ac:dyDescent="0.4">
      <c r="F896">
        <f t="shared" si="26"/>
        <v>0</v>
      </c>
      <c r="G896">
        <f t="shared" si="27"/>
        <v>0</v>
      </c>
    </row>
    <row r="897" spans="6:7" x14ac:dyDescent="0.4">
      <c r="F897">
        <f t="shared" si="26"/>
        <v>0</v>
      </c>
      <c r="G897">
        <f t="shared" si="27"/>
        <v>0</v>
      </c>
    </row>
    <row r="898" spans="6:7" x14ac:dyDescent="0.4">
      <c r="F898">
        <f t="shared" si="26"/>
        <v>0</v>
      </c>
      <c r="G898">
        <f t="shared" si="27"/>
        <v>0</v>
      </c>
    </row>
    <row r="899" spans="6:7" x14ac:dyDescent="0.4">
      <c r="F899">
        <f t="shared" ref="F899:F962" si="28">E899*D899</f>
        <v>0</v>
      </c>
      <c r="G899">
        <f t="shared" ref="G899:G962" si="29">F899-(F899*0.3)</f>
        <v>0</v>
      </c>
    </row>
    <row r="900" spans="6:7" x14ac:dyDescent="0.4">
      <c r="F900">
        <f t="shared" si="28"/>
        <v>0</v>
      </c>
      <c r="G900">
        <f t="shared" si="29"/>
        <v>0</v>
      </c>
    </row>
    <row r="901" spans="6:7" x14ac:dyDescent="0.4">
      <c r="F901">
        <f t="shared" si="28"/>
        <v>0</v>
      </c>
      <c r="G901">
        <f t="shared" si="29"/>
        <v>0</v>
      </c>
    </row>
    <row r="902" spans="6:7" x14ac:dyDescent="0.4">
      <c r="F902">
        <f t="shared" si="28"/>
        <v>0</v>
      </c>
      <c r="G902">
        <f t="shared" si="29"/>
        <v>0</v>
      </c>
    </row>
    <row r="903" spans="6:7" x14ac:dyDescent="0.4">
      <c r="F903">
        <f t="shared" si="28"/>
        <v>0</v>
      </c>
      <c r="G903">
        <f t="shared" si="29"/>
        <v>0</v>
      </c>
    </row>
    <row r="904" spans="6:7" x14ac:dyDescent="0.4">
      <c r="F904">
        <f t="shared" si="28"/>
        <v>0</v>
      </c>
      <c r="G904">
        <f t="shared" si="29"/>
        <v>0</v>
      </c>
    </row>
    <row r="905" spans="6:7" x14ac:dyDescent="0.4">
      <c r="F905">
        <f t="shared" si="28"/>
        <v>0</v>
      </c>
      <c r="G905">
        <f t="shared" si="29"/>
        <v>0</v>
      </c>
    </row>
    <row r="906" spans="6:7" x14ac:dyDescent="0.4">
      <c r="F906">
        <f t="shared" si="28"/>
        <v>0</v>
      </c>
      <c r="G906">
        <f t="shared" si="29"/>
        <v>0</v>
      </c>
    </row>
    <row r="907" spans="6:7" x14ac:dyDescent="0.4">
      <c r="F907">
        <f t="shared" si="28"/>
        <v>0</v>
      </c>
      <c r="G907">
        <f t="shared" si="29"/>
        <v>0</v>
      </c>
    </row>
    <row r="908" spans="6:7" x14ac:dyDescent="0.4">
      <c r="F908">
        <f t="shared" si="28"/>
        <v>0</v>
      </c>
      <c r="G908">
        <f t="shared" si="29"/>
        <v>0</v>
      </c>
    </row>
    <row r="909" spans="6:7" x14ac:dyDescent="0.4">
      <c r="F909">
        <f t="shared" si="28"/>
        <v>0</v>
      </c>
      <c r="G909">
        <f t="shared" si="29"/>
        <v>0</v>
      </c>
    </row>
    <row r="910" spans="6:7" x14ac:dyDescent="0.4">
      <c r="F910">
        <f t="shared" si="28"/>
        <v>0</v>
      </c>
      <c r="G910">
        <f t="shared" si="29"/>
        <v>0</v>
      </c>
    </row>
    <row r="911" spans="6:7" x14ac:dyDescent="0.4">
      <c r="F911">
        <f t="shared" si="28"/>
        <v>0</v>
      </c>
      <c r="G911">
        <f t="shared" si="29"/>
        <v>0</v>
      </c>
    </row>
    <row r="912" spans="6:7" x14ac:dyDescent="0.4">
      <c r="F912">
        <f t="shared" si="28"/>
        <v>0</v>
      </c>
      <c r="G912">
        <f t="shared" si="29"/>
        <v>0</v>
      </c>
    </row>
    <row r="913" spans="6:7" x14ac:dyDescent="0.4">
      <c r="F913">
        <f t="shared" si="28"/>
        <v>0</v>
      </c>
      <c r="G913">
        <f t="shared" si="29"/>
        <v>0</v>
      </c>
    </row>
    <row r="914" spans="6:7" x14ac:dyDescent="0.4">
      <c r="F914">
        <f t="shared" si="28"/>
        <v>0</v>
      </c>
      <c r="G914">
        <f t="shared" si="29"/>
        <v>0</v>
      </c>
    </row>
    <row r="915" spans="6:7" x14ac:dyDescent="0.4">
      <c r="F915">
        <f t="shared" si="28"/>
        <v>0</v>
      </c>
      <c r="G915">
        <f t="shared" si="29"/>
        <v>0</v>
      </c>
    </row>
    <row r="916" spans="6:7" x14ac:dyDescent="0.4">
      <c r="F916">
        <f t="shared" si="28"/>
        <v>0</v>
      </c>
      <c r="G916">
        <f t="shared" si="29"/>
        <v>0</v>
      </c>
    </row>
    <row r="917" spans="6:7" x14ac:dyDescent="0.4">
      <c r="F917">
        <f t="shared" si="28"/>
        <v>0</v>
      </c>
      <c r="G917">
        <f t="shared" si="29"/>
        <v>0</v>
      </c>
    </row>
    <row r="918" spans="6:7" x14ac:dyDescent="0.4">
      <c r="F918">
        <f t="shared" si="28"/>
        <v>0</v>
      </c>
      <c r="G918">
        <f t="shared" si="29"/>
        <v>0</v>
      </c>
    </row>
    <row r="919" spans="6:7" x14ac:dyDescent="0.4">
      <c r="F919">
        <f t="shared" si="28"/>
        <v>0</v>
      </c>
      <c r="G919">
        <f t="shared" si="29"/>
        <v>0</v>
      </c>
    </row>
    <row r="920" spans="6:7" x14ac:dyDescent="0.4">
      <c r="F920">
        <f t="shared" si="28"/>
        <v>0</v>
      </c>
      <c r="G920">
        <f t="shared" si="29"/>
        <v>0</v>
      </c>
    </row>
    <row r="921" spans="6:7" x14ac:dyDescent="0.4">
      <c r="F921">
        <f t="shared" si="28"/>
        <v>0</v>
      </c>
      <c r="G921">
        <f t="shared" si="29"/>
        <v>0</v>
      </c>
    </row>
    <row r="922" spans="6:7" x14ac:dyDescent="0.4">
      <c r="F922">
        <f t="shared" si="28"/>
        <v>0</v>
      </c>
      <c r="G922">
        <f t="shared" si="29"/>
        <v>0</v>
      </c>
    </row>
    <row r="923" spans="6:7" x14ac:dyDescent="0.4">
      <c r="F923">
        <f t="shared" si="28"/>
        <v>0</v>
      </c>
      <c r="G923">
        <f t="shared" si="29"/>
        <v>0</v>
      </c>
    </row>
    <row r="924" spans="6:7" x14ac:dyDescent="0.4">
      <c r="F924">
        <f t="shared" si="28"/>
        <v>0</v>
      </c>
      <c r="G924">
        <f t="shared" si="29"/>
        <v>0</v>
      </c>
    </row>
    <row r="925" spans="6:7" x14ac:dyDescent="0.4">
      <c r="F925">
        <f t="shared" si="28"/>
        <v>0</v>
      </c>
      <c r="G925">
        <f t="shared" si="29"/>
        <v>0</v>
      </c>
    </row>
    <row r="926" spans="6:7" x14ac:dyDescent="0.4">
      <c r="F926">
        <f t="shared" si="28"/>
        <v>0</v>
      </c>
      <c r="G926">
        <f t="shared" si="29"/>
        <v>0</v>
      </c>
    </row>
    <row r="927" spans="6:7" x14ac:dyDescent="0.4">
      <c r="F927">
        <f t="shared" si="28"/>
        <v>0</v>
      </c>
      <c r="G927">
        <f t="shared" si="29"/>
        <v>0</v>
      </c>
    </row>
    <row r="928" spans="6:7" x14ac:dyDescent="0.4">
      <c r="F928">
        <f t="shared" si="28"/>
        <v>0</v>
      </c>
      <c r="G928">
        <f t="shared" si="29"/>
        <v>0</v>
      </c>
    </row>
    <row r="929" spans="6:7" x14ac:dyDescent="0.4">
      <c r="F929">
        <f t="shared" si="28"/>
        <v>0</v>
      </c>
      <c r="G929">
        <f t="shared" si="29"/>
        <v>0</v>
      </c>
    </row>
    <row r="930" spans="6:7" x14ac:dyDescent="0.4">
      <c r="F930">
        <f t="shared" si="28"/>
        <v>0</v>
      </c>
      <c r="G930">
        <f t="shared" si="29"/>
        <v>0</v>
      </c>
    </row>
    <row r="931" spans="6:7" x14ac:dyDescent="0.4">
      <c r="F931">
        <f t="shared" si="28"/>
        <v>0</v>
      </c>
      <c r="G931">
        <f t="shared" si="29"/>
        <v>0</v>
      </c>
    </row>
    <row r="932" spans="6:7" x14ac:dyDescent="0.4">
      <c r="F932">
        <f t="shared" si="28"/>
        <v>0</v>
      </c>
      <c r="G932">
        <f t="shared" si="29"/>
        <v>0</v>
      </c>
    </row>
    <row r="933" spans="6:7" x14ac:dyDescent="0.4">
      <c r="F933">
        <f t="shared" si="28"/>
        <v>0</v>
      </c>
      <c r="G933">
        <f t="shared" si="29"/>
        <v>0</v>
      </c>
    </row>
    <row r="934" spans="6:7" x14ac:dyDescent="0.4">
      <c r="F934">
        <f t="shared" si="28"/>
        <v>0</v>
      </c>
      <c r="G934">
        <f t="shared" si="29"/>
        <v>0</v>
      </c>
    </row>
    <row r="935" spans="6:7" x14ac:dyDescent="0.4">
      <c r="F935">
        <f t="shared" si="28"/>
        <v>0</v>
      </c>
      <c r="G935">
        <f t="shared" si="29"/>
        <v>0</v>
      </c>
    </row>
    <row r="936" spans="6:7" x14ac:dyDescent="0.4">
      <c r="F936">
        <f t="shared" si="28"/>
        <v>0</v>
      </c>
      <c r="G936">
        <f t="shared" si="29"/>
        <v>0</v>
      </c>
    </row>
    <row r="937" spans="6:7" x14ac:dyDescent="0.4">
      <c r="F937">
        <f t="shared" si="28"/>
        <v>0</v>
      </c>
      <c r="G937">
        <f t="shared" si="29"/>
        <v>0</v>
      </c>
    </row>
    <row r="938" spans="6:7" x14ac:dyDescent="0.4">
      <c r="F938">
        <f t="shared" si="28"/>
        <v>0</v>
      </c>
      <c r="G938">
        <f t="shared" si="29"/>
        <v>0</v>
      </c>
    </row>
    <row r="939" spans="6:7" x14ac:dyDescent="0.4">
      <c r="F939">
        <f t="shared" si="28"/>
        <v>0</v>
      </c>
      <c r="G939">
        <f t="shared" si="29"/>
        <v>0</v>
      </c>
    </row>
    <row r="940" spans="6:7" x14ac:dyDescent="0.4">
      <c r="F940">
        <f t="shared" si="28"/>
        <v>0</v>
      </c>
      <c r="G940">
        <f t="shared" si="29"/>
        <v>0</v>
      </c>
    </row>
    <row r="941" spans="6:7" x14ac:dyDescent="0.4">
      <c r="F941">
        <f t="shared" si="28"/>
        <v>0</v>
      </c>
      <c r="G941">
        <f t="shared" si="29"/>
        <v>0</v>
      </c>
    </row>
    <row r="942" spans="6:7" x14ac:dyDescent="0.4">
      <c r="F942">
        <f t="shared" si="28"/>
        <v>0</v>
      </c>
      <c r="G942">
        <f t="shared" si="29"/>
        <v>0</v>
      </c>
    </row>
    <row r="943" spans="6:7" x14ac:dyDescent="0.4">
      <c r="F943">
        <f t="shared" si="28"/>
        <v>0</v>
      </c>
      <c r="G943">
        <f t="shared" si="29"/>
        <v>0</v>
      </c>
    </row>
    <row r="944" spans="6:7" x14ac:dyDescent="0.4">
      <c r="F944">
        <f t="shared" si="28"/>
        <v>0</v>
      </c>
      <c r="G944">
        <f t="shared" si="29"/>
        <v>0</v>
      </c>
    </row>
    <row r="945" spans="6:7" x14ac:dyDescent="0.4">
      <c r="F945">
        <f t="shared" si="28"/>
        <v>0</v>
      </c>
      <c r="G945">
        <f t="shared" si="29"/>
        <v>0</v>
      </c>
    </row>
    <row r="946" spans="6:7" x14ac:dyDescent="0.4">
      <c r="F946">
        <f t="shared" si="28"/>
        <v>0</v>
      </c>
      <c r="G946">
        <f t="shared" si="29"/>
        <v>0</v>
      </c>
    </row>
    <row r="947" spans="6:7" x14ac:dyDescent="0.4">
      <c r="F947">
        <f t="shared" si="28"/>
        <v>0</v>
      </c>
      <c r="G947">
        <f t="shared" si="29"/>
        <v>0</v>
      </c>
    </row>
    <row r="948" spans="6:7" x14ac:dyDescent="0.4">
      <c r="F948">
        <f t="shared" si="28"/>
        <v>0</v>
      </c>
      <c r="G948">
        <f t="shared" si="29"/>
        <v>0</v>
      </c>
    </row>
    <row r="949" spans="6:7" x14ac:dyDescent="0.4">
      <c r="F949">
        <f t="shared" si="28"/>
        <v>0</v>
      </c>
      <c r="G949">
        <f t="shared" si="29"/>
        <v>0</v>
      </c>
    </row>
    <row r="950" spans="6:7" x14ac:dyDescent="0.4">
      <c r="F950">
        <f t="shared" si="28"/>
        <v>0</v>
      </c>
      <c r="G950">
        <f t="shared" si="29"/>
        <v>0</v>
      </c>
    </row>
    <row r="951" spans="6:7" x14ac:dyDescent="0.4">
      <c r="F951">
        <f t="shared" si="28"/>
        <v>0</v>
      </c>
      <c r="G951">
        <f t="shared" si="29"/>
        <v>0</v>
      </c>
    </row>
    <row r="952" spans="6:7" x14ac:dyDescent="0.4">
      <c r="F952">
        <f t="shared" si="28"/>
        <v>0</v>
      </c>
      <c r="G952">
        <f t="shared" si="29"/>
        <v>0</v>
      </c>
    </row>
    <row r="953" spans="6:7" x14ac:dyDescent="0.4">
      <c r="F953">
        <f t="shared" si="28"/>
        <v>0</v>
      </c>
      <c r="G953">
        <f t="shared" si="29"/>
        <v>0</v>
      </c>
    </row>
    <row r="954" spans="6:7" x14ac:dyDescent="0.4">
      <c r="F954">
        <f t="shared" si="28"/>
        <v>0</v>
      </c>
      <c r="G954">
        <f t="shared" si="29"/>
        <v>0</v>
      </c>
    </row>
    <row r="955" spans="6:7" x14ac:dyDescent="0.4">
      <c r="F955">
        <f t="shared" si="28"/>
        <v>0</v>
      </c>
      <c r="G955">
        <f t="shared" si="29"/>
        <v>0</v>
      </c>
    </row>
    <row r="956" spans="6:7" x14ac:dyDescent="0.4">
      <c r="F956">
        <f t="shared" si="28"/>
        <v>0</v>
      </c>
      <c r="G956">
        <f t="shared" si="29"/>
        <v>0</v>
      </c>
    </row>
    <row r="957" spans="6:7" x14ac:dyDescent="0.4">
      <c r="F957">
        <f t="shared" si="28"/>
        <v>0</v>
      </c>
      <c r="G957">
        <f t="shared" si="29"/>
        <v>0</v>
      </c>
    </row>
    <row r="958" spans="6:7" x14ac:dyDescent="0.4">
      <c r="F958">
        <f t="shared" si="28"/>
        <v>0</v>
      </c>
      <c r="G958">
        <f t="shared" si="29"/>
        <v>0</v>
      </c>
    </row>
    <row r="959" spans="6:7" x14ac:dyDescent="0.4">
      <c r="F959">
        <f t="shared" si="28"/>
        <v>0</v>
      </c>
      <c r="G959">
        <f t="shared" si="29"/>
        <v>0</v>
      </c>
    </row>
    <row r="960" spans="6:7" x14ac:dyDescent="0.4">
      <c r="F960">
        <f t="shared" si="28"/>
        <v>0</v>
      </c>
      <c r="G960">
        <f t="shared" si="29"/>
        <v>0</v>
      </c>
    </row>
    <row r="961" spans="6:7" x14ac:dyDescent="0.4">
      <c r="F961">
        <f t="shared" si="28"/>
        <v>0</v>
      </c>
      <c r="G961">
        <f t="shared" si="29"/>
        <v>0</v>
      </c>
    </row>
    <row r="962" spans="6:7" x14ac:dyDescent="0.4">
      <c r="F962">
        <f t="shared" si="28"/>
        <v>0</v>
      </c>
      <c r="G962">
        <f t="shared" si="29"/>
        <v>0</v>
      </c>
    </row>
    <row r="963" spans="6:7" x14ac:dyDescent="0.4">
      <c r="F963">
        <f t="shared" ref="F963:F1026" si="30">E963*D963</f>
        <v>0</v>
      </c>
      <c r="G963">
        <f t="shared" ref="G963:G1026" si="31">F963-(F963*0.3)</f>
        <v>0</v>
      </c>
    </row>
    <row r="964" spans="6:7" x14ac:dyDescent="0.4">
      <c r="F964">
        <f t="shared" si="30"/>
        <v>0</v>
      </c>
      <c r="G964">
        <f t="shared" si="31"/>
        <v>0</v>
      </c>
    </row>
    <row r="965" spans="6:7" x14ac:dyDescent="0.4">
      <c r="F965">
        <f t="shared" si="30"/>
        <v>0</v>
      </c>
      <c r="G965">
        <f t="shared" si="31"/>
        <v>0</v>
      </c>
    </row>
    <row r="966" spans="6:7" x14ac:dyDescent="0.4">
      <c r="F966">
        <f t="shared" si="30"/>
        <v>0</v>
      </c>
      <c r="G966">
        <f t="shared" si="31"/>
        <v>0</v>
      </c>
    </row>
    <row r="967" spans="6:7" x14ac:dyDescent="0.4">
      <c r="F967">
        <f t="shared" si="30"/>
        <v>0</v>
      </c>
      <c r="G967">
        <f t="shared" si="31"/>
        <v>0</v>
      </c>
    </row>
    <row r="968" spans="6:7" x14ac:dyDescent="0.4">
      <c r="F968">
        <f t="shared" si="30"/>
        <v>0</v>
      </c>
      <c r="G968">
        <f t="shared" si="31"/>
        <v>0</v>
      </c>
    </row>
    <row r="969" spans="6:7" x14ac:dyDescent="0.4">
      <c r="F969">
        <f t="shared" si="30"/>
        <v>0</v>
      </c>
      <c r="G969">
        <f t="shared" si="31"/>
        <v>0</v>
      </c>
    </row>
    <row r="970" spans="6:7" x14ac:dyDescent="0.4">
      <c r="F970">
        <f t="shared" si="30"/>
        <v>0</v>
      </c>
      <c r="G970">
        <f t="shared" si="31"/>
        <v>0</v>
      </c>
    </row>
    <row r="971" spans="6:7" x14ac:dyDescent="0.4">
      <c r="F971">
        <f t="shared" si="30"/>
        <v>0</v>
      </c>
      <c r="G971">
        <f t="shared" si="31"/>
        <v>0</v>
      </c>
    </row>
    <row r="972" spans="6:7" x14ac:dyDescent="0.4">
      <c r="F972">
        <f t="shared" si="30"/>
        <v>0</v>
      </c>
      <c r="G972">
        <f t="shared" si="31"/>
        <v>0</v>
      </c>
    </row>
    <row r="973" spans="6:7" x14ac:dyDescent="0.4">
      <c r="F973">
        <f t="shared" si="30"/>
        <v>0</v>
      </c>
      <c r="G973">
        <f t="shared" si="31"/>
        <v>0</v>
      </c>
    </row>
    <row r="974" spans="6:7" x14ac:dyDescent="0.4">
      <c r="F974">
        <f t="shared" si="30"/>
        <v>0</v>
      </c>
      <c r="G974">
        <f t="shared" si="31"/>
        <v>0</v>
      </c>
    </row>
    <row r="975" spans="6:7" x14ac:dyDescent="0.4">
      <c r="F975">
        <f t="shared" si="30"/>
        <v>0</v>
      </c>
      <c r="G975">
        <f t="shared" si="31"/>
        <v>0</v>
      </c>
    </row>
    <row r="976" spans="6:7" x14ac:dyDescent="0.4">
      <c r="F976">
        <f t="shared" si="30"/>
        <v>0</v>
      </c>
      <c r="G976">
        <f t="shared" si="31"/>
        <v>0</v>
      </c>
    </row>
    <row r="977" spans="6:7" x14ac:dyDescent="0.4">
      <c r="F977">
        <f t="shared" si="30"/>
        <v>0</v>
      </c>
      <c r="G977">
        <f t="shared" si="31"/>
        <v>0</v>
      </c>
    </row>
    <row r="978" spans="6:7" x14ac:dyDescent="0.4">
      <c r="F978">
        <f t="shared" si="30"/>
        <v>0</v>
      </c>
      <c r="G978">
        <f t="shared" si="31"/>
        <v>0</v>
      </c>
    </row>
    <row r="979" spans="6:7" x14ac:dyDescent="0.4">
      <c r="F979">
        <f t="shared" si="30"/>
        <v>0</v>
      </c>
      <c r="G979">
        <f t="shared" si="31"/>
        <v>0</v>
      </c>
    </row>
    <row r="980" spans="6:7" x14ac:dyDescent="0.4">
      <c r="F980">
        <f t="shared" si="30"/>
        <v>0</v>
      </c>
      <c r="G980">
        <f t="shared" si="31"/>
        <v>0</v>
      </c>
    </row>
    <row r="981" spans="6:7" x14ac:dyDescent="0.4">
      <c r="F981">
        <f t="shared" si="30"/>
        <v>0</v>
      </c>
      <c r="G981">
        <f t="shared" si="31"/>
        <v>0</v>
      </c>
    </row>
    <row r="982" spans="6:7" x14ac:dyDescent="0.4">
      <c r="F982">
        <f t="shared" si="30"/>
        <v>0</v>
      </c>
      <c r="G982">
        <f t="shared" si="31"/>
        <v>0</v>
      </c>
    </row>
    <row r="983" spans="6:7" x14ac:dyDescent="0.4">
      <c r="F983">
        <f t="shared" si="30"/>
        <v>0</v>
      </c>
      <c r="G983">
        <f t="shared" si="31"/>
        <v>0</v>
      </c>
    </row>
    <row r="984" spans="6:7" x14ac:dyDescent="0.4">
      <c r="F984">
        <f t="shared" si="30"/>
        <v>0</v>
      </c>
      <c r="G984">
        <f t="shared" si="31"/>
        <v>0</v>
      </c>
    </row>
    <row r="985" spans="6:7" x14ac:dyDescent="0.4">
      <c r="F985">
        <f t="shared" si="30"/>
        <v>0</v>
      </c>
      <c r="G985">
        <f t="shared" si="31"/>
        <v>0</v>
      </c>
    </row>
    <row r="986" spans="6:7" x14ac:dyDescent="0.4">
      <c r="F986">
        <f t="shared" si="30"/>
        <v>0</v>
      </c>
      <c r="G986">
        <f t="shared" si="31"/>
        <v>0</v>
      </c>
    </row>
    <row r="987" spans="6:7" x14ac:dyDescent="0.4">
      <c r="F987">
        <f t="shared" si="30"/>
        <v>0</v>
      </c>
      <c r="G987">
        <f t="shared" si="31"/>
        <v>0</v>
      </c>
    </row>
    <row r="988" spans="6:7" x14ac:dyDescent="0.4">
      <c r="F988">
        <f t="shared" si="30"/>
        <v>0</v>
      </c>
      <c r="G988">
        <f t="shared" si="31"/>
        <v>0</v>
      </c>
    </row>
    <row r="989" spans="6:7" x14ac:dyDescent="0.4">
      <c r="F989">
        <f t="shared" si="30"/>
        <v>0</v>
      </c>
      <c r="G989">
        <f t="shared" si="31"/>
        <v>0</v>
      </c>
    </row>
    <row r="990" spans="6:7" x14ac:dyDescent="0.4">
      <c r="F990">
        <f t="shared" si="30"/>
        <v>0</v>
      </c>
      <c r="G990">
        <f t="shared" si="31"/>
        <v>0</v>
      </c>
    </row>
    <row r="991" spans="6:7" x14ac:dyDescent="0.4">
      <c r="F991">
        <f t="shared" si="30"/>
        <v>0</v>
      </c>
      <c r="G991">
        <f t="shared" si="31"/>
        <v>0</v>
      </c>
    </row>
    <row r="992" spans="6:7" x14ac:dyDescent="0.4">
      <c r="F992">
        <f t="shared" si="30"/>
        <v>0</v>
      </c>
      <c r="G992">
        <f t="shared" si="31"/>
        <v>0</v>
      </c>
    </row>
    <row r="993" spans="6:7" x14ac:dyDescent="0.4">
      <c r="F993">
        <f t="shared" si="30"/>
        <v>0</v>
      </c>
      <c r="G993">
        <f t="shared" si="31"/>
        <v>0</v>
      </c>
    </row>
    <row r="994" spans="6:7" x14ac:dyDescent="0.4">
      <c r="F994">
        <f t="shared" si="30"/>
        <v>0</v>
      </c>
      <c r="G994">
        <f t="shared" si="31"/>
        <v>0</v>
      </c>
    </row>
    <row r="995" spans="6:7" x14ac:dyDescent="0.4">
      <c r="F995">
        <f t="shared" si="30"/>
        <v>0</v>
      </c>
      <c r="G995">
        <f t="shared" si="31"/>
        <v>0</v>
      </c>
    </row>
    <row r="996" spans="6:7" x14ac:dyDescent="0.4">
      <c r="F996">
        <f t="shared" si="30"/>
        <v>0</v>
      </c>
      <c r="G996">
        <f t="shared" si="31"/>
        <v>0</v>
      </c>
    </row>
    <row r="997" spans="6:7" x14ac:dyDescent="0.4">
      <c r="F997">
        <f t="shared" si="30"/>
        <v>0</v>
      </c>
      <c r="G997">
        <f t="shared" si="31"/>
        <v>0</v>
      </c>
    </row>
    <row r="998" spans="6:7" x14ac:dyDescent="0.4">
      <c r="F998">
        <f t="shared" si="30"/>
        <v>0</v>
      </c>
      <c r="G998">
        <f t="shared" si="31"/>
        <v>0</v>
      </c>
    </row>
    <row r="999" spans="6:7" x14ac:dyDescent="0.4">
      <c r="F999">
        <f t="shared" si="30"/>
        <v>0</v>
      </c>
      <c r="G999">
        <f t="shared" si="31"/>
        <v>0</v>
      </c>
    </row>
    <row r="1000" spans="6:7" x14ac:dyDescent="0.4">
      <c r="F1000">
        <f t="shared" si="30"/>
        <v>0</v>
      </c>
      <c r="G1000">
        <f t="shared" si="31"/>
        <v>0</v>
      </c>
    </row>
    <row r="1001" spans="6:7" x14ac:dyDescent="0.4">
      <c r="F1001">
        <f t="shared" si="30"/>
        <v>0</v>
      </c>
      <c r="G1001">
        <f t="shared" si="31"/>
        <v>0</v>
      </c>
    </row>
    <row r="1002" spans="6:7" x14ac:dyDescent="0.4">
      <c r="F1002">
        <f t="shared" si="30"/>
        <v>0</v>
      </c>
      <c r="G1002">
        <f t="shared" si="31"/>
        <v>0</v>
      </c>
    </row>
    <row r="1003" spans="6:7" x14ac:dyDescent="0.4">
      <c r="F1003">
        <f t="shared" si="30"/>
        <v>0</v>
      </c>
      <c r="G1003">
        <f t="shared" si="31"/>
        <v>0</v>
      </c>
    </row>
    <row r="1004" spans="6:7" x14ac:dyDescent="0.4">
      <c r="F1004">
        <f t="shared" si="30"/>
        <v>0</v>
      </c>
      <c r="G1004">
        <f t="shared" si="31"/>
        <v>0</v>
      </c>
    </row>
    <row r="1005" spans="6:7" x14ac:dyDescent="0.4">
      <c r="F1005">
        <f t="shared" si="30"/>
        <v>0</v>
      </c>
      <c r="G1005">
        <f t="shared" si="31"/>
        <v>0</v>
      </c>
    </row>
    <row r="1006" spans="6:7" x14ac:dyDescent="0.4">
      <c r="F1006">
        <f t="shared" si="30"/>
        <v>0</v>
      </c>
      <c r="G1006">
        <f t="shared" si="31"/>
        <v>0</v>
      </c>
    </row>
    <row r="1007" spans="6:7" x14ac:dyDescent="0.4">
      <c r="F1007">
        <f t="shared" si="30"/>
        <v>0</v>
      </c>
      <c r="G1007">
        <f t="shared" si="31"/>
        <v>0</v>
      </c>
    </row>
    <row r="1008" spans="6:7" x14ac:dyDescent="0.4">
      <c r="F1008">
        <f t="shared" si="30"/>
        <v>0</v>
      </c>
      <c r="G1008">
        <f t="shared" si="31"/>
        <v>0</v>
      </c>
    </row>
    <row r="1009" spans="6:7" x14ac:dyDescent="0.4">
      <c r="F1009">
        <f t="shared" si="30"/>
        <v>0</v>
      </c>
      <c r="G1009">
        <f t="shared" si="31"/>
        <v>0</v>
      </c>
    </row>
    <row r="1010" spans="6:7" x14ac:dyDescent="0.4">
      <c r="F1010">
        <f t="shared" si="30"/>
        <v>0</v>
      </c>
      <c r="G1010">
        <f t="shared" si="31"/>
        <v>0</v>
      </c>
    </row>
    <row r="1011" spans="6:7" x14ac:dyDescent="0.4">
      <c r="F1011">
        <f t="shared" si="30"/>
        <v>0</v>
      </c>
      <c r="G1011">
        <f t="shared" si="31"/>
        <v>0</v>
      </c>
    </row>
    <row r="1012" spans="6:7" x14ac:dyDescent="0.4">
      <c r="F1012">
        <f t="shared" si="30"/>
        <v>0</v>
      </c>
      <c r="G1012">
        <f t="shared" si="31"/>
        <v>0</v>
      </c>
    </row>
    <row r="1013" spans="6:7" x14ac:dyDescent="0.4">
      <c r="F1013">
        <f t="shared" si="30"/>
        <v>0</v>
      </c>
      <c r="G1013">
        <f t="shared" si="31"/>
        <v>0</v>
      </c>
    </row>
    <row r="1014" spans="6:7" x14ac:dyDescent="0.4">
      <c r="F1014">
        <f t="shared" si="30"/>
        <v>0</v>
      </c>
      <c r="G1014">
        <f t="shared" si="31"/>
        <v>0</v>
      </c>
    </row>
    <row r="1015" spans="6:7" x14ac:dyDescent="0.4">
      <c r="F1015">
        <f t="shared" si="30"/>
        <v>0</v>
      </c>
      <c r="G1015">
        <f t="shared" si="31"/>
        <v>0</v>
      </c>
    </row>
    <row r="1016" spans="6:7" x14ac:dyDescent="0.4">
      <c r="F1016">
        <f t="shared" si="30"/>
        <v>0</v>
      </c>
      <c r="G1016">
        <f t="shared" si="31"/>
        <v>0</v>
      </c>
    </row>
    <row r="1017" spans="6:7" x14ac:dyDescent="0.4">
      <c r="F1017">
        <f t="shared" si="30"/>
        <v>0</v>
      </c>
      <c r="G1017">
        <f t="shared" si="31"/>
        <v>0</v>
      </c>
    </row>
    <row r="1018" spans="6:7" x14ac:dyDescent="0.4">
      <c r="F1018">
        <f t="shared" si="30"/>
        <v>0</v>
      </c>
      <c r="G1018">
        <f t="shared" si="31"/>
        <v>0</v>
      </c>
    </row>
    <row r="1019" spans="6:7" x14ac:dyDescent="0.4">
      <c r="F1019">
        <f t="shared" si="30"/>
        <v>0</v>
      </c>
      <c r="G1019">
        <f t="shared" si="31"/>
        <v>0</v>
      </c>
    </row>
    <row r="1020" spans="6:7" x14ac:dyDescent="0.4">
      <c r="F1020">
        <f t="shared" si="30"/>
        <v>0</v>
      </c>
      <c r="G1020">
        <f t="shared" si="31"/>
        <v>0</v>
      </c>
    </row>
    <row r="1021" spans="6:7" x14ac:dyDescent="0.4">
      <c r="F1021">
        <f t="shared" si="30"/>
        <v>0</v>
      </c>
      <c r="G1021">
        <f t="shared" si="31"/>
        <v>0</v>
      </c>
    </row>
    <row r="1022" spans="6:7" x14ac:dyDescent="0.4">
      <c r="F1022">
        <f t="shared" si="30"/>
        <v>0</v>
      </c>
      <c r="G1022">
        <f t="shared" si="31"/>
        <v>0</v>
      </c>
    </row>
    <row r="1023" spans="6:7" x14ac:dyDescent="0.4">
      <c r="F1023">
        <f t="shared" si="30"/>
        <v>0</v>
      </c>
      <c r="G1023">
        <f t="shared" si="31"/>
        <v>0</v>
      </c>
    </row>
    <row r="1024" spans="6:7" x14ac:dyDescent="0.4">
      <c r="F1024">
        <f t="shared" si="30"/>
        <v>0</v>
      </c>
      <c r="G1024">
        <f t="shared" si="31"/>
        <v>0</v>
      </c>
    </row>
    <row r="1025" spans="6:7" x14ac:dyDescent="0.4">
      <c r="F1025">
        <f t="shared" si="30"/>
        <v>0</v>
      </c>
      <c r="G1025">
        <f t="shared" si="31"/>
        <v>0</v>
      </c>
    </row>
    <row r="1026" spans="6:7" x14ac:dyDescent="0.4">
      <c r="F1026">
        <f t="shared" si="30"/>
        <v>0</v>
      </c>
      <c r="G1026">
        <f t="shared" si="31"/>
        <v>0</v>
      </c>
    </row>
    <row r="1027" spans="6:7" x14ac:dyDescent="0.4">
      <c r="F1027">
        <f t="shared" ref="F1027:F1090" si="32">E1027*D1027</f>
        <v>0</v>
      </c>
      <c r="G1027">
        <f t="shared" ref="G1027:G1090" si="33">F1027-(F1027*0.3)</f>
        <v>0</v>
      </c>
    </row>
    <row r="1028" spans="6:7" x14ac:dyDescent="0.4">
      <c r="F1028">
        <f t="shared" si="32"/>
        <v>0</v>
      </c>
      <c r="G1028">
        <f t="shared" si="33"/>
        <v>0</v>
      </c>
    </row>
    <row r="1029" spans="6:7" x14ac:dyDescent="0.4">
      <c r="F1029">
        <f t="shared" si="32"/>
        <v>0</v>
      </c>
      <c r="G1029">
        <f t="shared" si="33"/>
        <v>0</v>
      </c>
    </row>
    <row r="1030" spans="6:7" x14ac:dyDescent="0.4">
      <c r="F1030">
        <f t="shared" si="32"/>
        <v>0</v>
      </c>
      <c r="G1030">
        <f t="shared" si="33"/>
        <v>0</v>
      </c>
    </row>
    <row r="1031" spans="6:7" x14ac:dyDescent="0.4">
      <c r="F1031">
        <f t="shared" si="32"/>
        <v>0</v>
      </c>
      <c r="G1031">
        <f t="shared" si="33"/>
        <v>0</v>
      </c>
    </row>
    <row r="1032" spans="6:7" x14ac:dyDescent="0.4">
      <c r="F1032">
        <f t="shared" si="32"/>
        <v>0</v>
      </c>
      <c r="G1032">
        <f t="shared" si="33"/>
        <v>0</v>
      </c>
    </row>
    <row r="1033" spans="6:7" x14ac:dyDescent="0.4">
      <c r="F1033">
        <f t="shared" si="32"/>
        <v>0</v>
      </c>
      <c r="G1033">
        <f t="shared" si="33"/>
        <v>0</v>
      </c>
    </row>
    <row r="1034" spans="6:7" x14ac:dyDescent="0.4">
      <c r="F1034">
        <f t="shared" si="32"/>
        <v>0</v>
      </c>
      <c r="G1034">
        <f t="shared" si="33"/>
        <v>0</v>
      </c>
    </row>
    <row r="1035" spans="6:7" x14ac:dyDescent="0.4">
      <c r="F1035">
        <f t="shared" si="32"/>
        <v>0</v>
      </c>
      <c r="G1035">
        <f t="shared" si="33"/>
        <v>0</v>
      </c>
    </row>
    <row r="1036" spans="6:7" x14ac:dyDescent="0.4">
      <c r="F1036">
        <f t="shared" si="32"/>
        <v>0</v>
      </c>
      <c r="G1036">
        <f t="shared" si="33"/>
        <v>0</v>
      </c>
    </row>
    <row r="1037" spans="6:7" x14ac:dyDescent="0.4">
      <c r="F1037">
        <f t="shared" si="32"/>
        <v>0</v>
      </c>
      <c r="G1037">
        <f t="shared" si="33"/>
        <v>0</v>
      </c>
    </row>
    <row r="1038" spans="6:7" x14ac:dyDescent="0.4">
      <c r="F1038">
        <f t="shared" si="32"/>
        <v>0</v>
      </c>
      <c r="G1038">
        <f t="shared" si="33"/>
        <v>0</v>
      </c>
    </row>
    <row r="1039" spans="6:7" x14ac:dyDescent="0.4">
      <c r="F1039">
        <f t="shared" si="32"/>
        <v>0</v>
      </c>
      <c r="G1039">
        <f t="shared" si="33"/>
        <v>0</v>
      </c>
    </row>
    <row r="1040" spans="6:7" x14ac:dyDescent="0.4">
      <c r="F1040">
        <f t="shared" si="32"/>
        <v>0</v>
      </c>
      <c r="G1040">
        <f t="shared" si="33"/>
        <v>0</v>
      </c>
    </row>
    <row r="1041" spans="6:7" x14ac:dyDescent="0.4">
      <c r="F1041">
        <f t="shared" si="32"/>
        <v>0</v>
      </c>
      <c r="G1041">
        <f t="shared" si="33"/>
        <v>0</v>
      </c>
    </row>
    <row r="1042" spans="6:7" x14ac:dyDescent="0.4">
      <c r="F1042">
        <f t="shared" si="32"/>
        <v>0</v>
      </c>
      <c r="G1042">
        <f t="shared" si="33"/>
        <v>0</v>
      </c>
    </row>
    <row r="1043" spans="6:7" x14ac:dyDescent="0.4">
      <c r="F1043">
        <f t="shared" si="32"/>
        <v>0</v>
      </c>
      <c r="G1043">
        <f t="shared" si="33"/>
        <v>0</v>
      </c>
    </row>
    <row r="1044" spans="6:7" x14ac:dyDescent="0.4">
      <c r="F1044">
        <f t="shared" si="32"/>
        <v>0</v>
      </c>
      <c r="G1044">
        <f t="shared" si="33"/>
        <v>0</v>
      </c>
    </row>
    <row r="1045" spans="6:7" x14ac:dyDescent="0.4">
      <c r="F1045">
        <f t="shared" si="32"/>
        <v>0</v>
      </c>
      <c r="G1045">
        <f t="shared" si="33"/>
        <v>0</v>
      </c>
    </row>
    <row r="1046" spans="6:7" x14ac:dyDescent="0.4">
      <c r="F1046">
        <f t="shared" si="32"/>
        <v>0</v>
      </c>
      <c r="G1046">
        <f t="shared" si="33"/>
        <v>0</v>
      </c>
    </row>
    <row r="1047" spans="6:7" x14ac:dyDescent="0.4">
      <c r="F1047">
        <f t="shared" si="32"/>
        <v>0</v>
      </c>
      <c r="G1047">
        <f t="shared" si="33"/>
        <v>0</v>
      </c>
    </row>
    <row r="1048" spans="6:7" x14ac:dyDescent="0.4">
      <c r="F1048">
        <f t="shared" si="32"/>
        <v>0</v>
      </c>
      <c r="G1048">
        <f t="shared" si="33"/>
        <v>0</v>
      </c>
    </row>
    <row r="1049" spans="6:7" x14ac:dyDescent="0.4">
      <c r="F1049">
        <f t="shared" si="32"/>
        <v>0</v>
      </c>
      <c r="G1049">
        <f t="shared" si="33"/>
        <v>0</v>
      </c>
    </row>
    <row r="1050" spans="6:7" x14ac:dyDescent="0.4">
      <c r="F1050">
        <f t="shared" si="32"/>
        <v>0</v>
      </c>
      <c r="G1050">
        <f t="shared" si="33"/>
        <v>0</v>
      </c>
    </row>
    <row r="1051" spans="6:7" x14ac:dyDescent="0.4">
      <c r="F1051">
        <f t="shared" si="32"/>
        <v>0</v>
      </c>
      <c r="G1051">
        <f t="shared" si="33"/>
        <v>0</v>
      </c>
    </row>
    <row r="1052" spans="6:7" x14ac:dyDescent="0.4">
      <c r="F1052">
        <f t="shared" si="32"/>
        <v>0</v>
      </c>
      <c r="G1052">
        <f t="shared" si="33"/>
        <v>0</v>
      </c>
    </row>
    <row r="1053" spans="6:7" x14ac:dyDescent="0.4">
      <c r="F1053">
        <f t="shared" si="32"/>
        <v>0</v>
      </c>
      <c r="G1053">
        <f t="shared" si="33"/>
        <v>0</v>
      </c>
    </row>
    <row r="1054" spans="6:7" x14ac:dyDescent="0.4">
      <c r="F1054">
        <f t="shared" si="32"/>
        <v>0</v>
      </c>
      <c r="G1054">
        <f t="shared" si="33"/>
        <v>0</v>
      </c>
    </row>
    <row r="1055" spans="6:7" x14ac:dyDescent="0.4">
      <c r="F1055">
        <f t="shared" si="32"/>
        <v>0</v>
      </c>
      <c r="G1055">
        <f t="shared" si="33"/>
        <v>0</v>
      </c>
    </row>
    <row r="1056" spans="6:7" x14ac:dyDescent="0.4">
      <c r="F1056">
        <f t="shared" si="32"/>
        <v>0</v>
      </c>
      <c r="G1056">
        <f t="shared" si="33"/>
        <v>0</v>
      </c>
    </row>
    <row r="1057" spans="6:7" x14ac:dyDescent="0.4">
      <c r="F1057">
        <f t="shared" si="32"/>
        <v>0</v>
      </c>
      <c r="G1057">
        <f t="shared" si="33"/>
        <v>0</v>
      </c>
    </row>
    <row r="1058" spans="6:7" x14ac:dyDescent="0.4">
      <c r="F1058">
        <f t="shared" si="32"/>
        <v>0</v>
      </c>
      <c r="G1058">
        <f t="shared" si="33"/>
        <v>0</v>
      </c>
    </row>
    <row r="1059" spans="6:7" x14ac:dyDescent="0.4">
      <c r="F1059">
        <f t="shared" si="32"/>
        <v>0</v>
      </c>
      <c r="G1059">
        <f t="shared" si="33"/>
        <v>0</v>
      </c>
    </row>
    <row r="1060" spans="6:7" x14ac:dyDescent="0.4">
      <c r="F1060">
        <f t="shared" si="32"/>
        <v>0</v>
      </c>
      <c r="G1060">
        <f t="shared" si="33"/>
        <v>0</v>
      </c>
    </row>
    <row r="1061" spans="6:7" x14ac:dyDescent="0.4">
      <c r="F1061">
        <f t="shared" si="32"/>
        <v>0</v>
      </c>
      <c r="G1061">
        <f t="shared" si="33"/>
        <v>0</v>
      </c>
    </row>
    <row r="1062" spans="6:7" x14ac:dyDescent="0.4">
      <c r="F1062">
        <f t="shared" si="32"/>
        <v>0</v>
      </c>
      <c r="G1062">
        <f t="shared" si="33"/>
        <v>0</v>
      </c>
    </row>
    <row r="1063" spans="6:7" x14ac:dyDescent="0.4">
      <c r="F1063">
        <f t="shared" si="32"/>
        <v>0</v>
      </c>
      <c r="G1063">
        <f t="shared" si="33"/>
        <v>0</v>
      </c>
    </row>
    <row r="1064" spans="6:7" x14ac:dyDescent="0.4">
      <c r="F1064">
        <f t="shared" si="32"/>
        <v>0</v>
      </c>
      <c r="G1064">
        <f t="shared" si="33"/>
        <v>0</v>
      </c>
    </row>
    <row r="1065" spans="6:7" x14ac:dyDescent="0.4">
      <c r="F1065">
        <f t="shared" si="32"/>
        <v>0</v>
      </c>
      <c r="G1065">
        <f t="shared" si="33"/>
        <v>0</v>
      </c>
    </row>
    <row r="1066" spans="6:7" x14ac:dyDescent="0.4">
      <c r="F1066">
        <f t="shared" si="32"/>
        <v>0</v>
      </c>
      <c r="G1066">
        <f t="shared" si="33"/>
        <v>0</v>
      </c>
    </row>
    <row r="1067" spans="6:7" x14ac:dyDescent="0.4">
      <c r="F1067">
        <f t="shared" si="32"/>
        <v>0</v>
      </c>
      <c r="G1067">
        <f t="shared" si="33"/>
        <v>0</v>
      </c>
    </row>
    <row r="1068" spans="6:7" x14ac:dyDescent="0.4">
      <c r="F1068">
        <f t="shared" si="32"/>
        <v>0</v>
      </c>
      <c r="G1068">
        <f t="shared" si="33"/>
        <v>0</v>
      </c>
    </row>
    <row r="1069" spans="6:7" x14ac:dyDescent="0.4">
      <c r="F1069">
        <f t="shared" si="32"/>
        <v>0</v>
      </c>
      <c r="G1069">
        <f t="shared" si="33"/>
        <v>0</v>
      </c>
    </row>
    <row r="1070" spans="6:7" x14ac:dyDescent="0.4">
      <c r="F1070">
        <f t="shared" si="32"/>
        <v>0</v>
      </c>
      <c r="G1070">
        <f t="shared" si="33"/>
        <v>0</v>
      </c>
    </row>
    <row r="1071" spans="6:7" x14ac:dyDescent="0.4">
      <c r="F1071">
        <f t="shared" si="32"/>
        <v>0</v>
      </c>
      <c r="G1071">
        <f t="shared" si="33"/>
        <v>0</v>
      </c>
    </row>
    <row r="1072" spans="6:7" x14ac:dyDescent="0.4">
      <c r="F1072">
        <f t="shared" si="32"/>
        <v>0</v>
      </c>
      <c r="G1072">
        <f t="shared" si="33"/>
        <v>0</v>
      </c>
    </row>
    <row r="1073" spans="6:7" x14ac:dyDescent="0.4">
      <c r="F1073">
        <f t="shared" si="32"/>
        <v>0</v>
      </c>
      <c r="G1073">
        <f t="shared" si="33"/>
        <v>0</v>
      </c>
    </row>
    <row r="1074" spans="6:7" x14ac:dyDescent="0.4">
      <c r="F1074">
        <f t="shared" si="32"/>
        <v>0</v>
      </c>
      <c r="G1074">
        <f t="shared" si="33"/>
        <v>0</v>
      </c>
    </row>
    <row r="1075" spans="6:7" x14ac:dyDescent="0.4">
      <c r="F1075">
        <f t="shared" si="32"/>
        <v>0</v>
      </c>
      <c r="G1075">
        <f t="shared" si="33"/>
        <v>0</v>
      </c>
    </row>
    <row r="1076" spans="6:7" x14ac:dyDescent="0.4">
      <c r="F1076">
        <f t="shared" si="32"/>
        <v>0</v>
      </c>
      <c r="G1076">
        <f t="shared" si="33"/>
        <v>0</v>
      </c>
    </row>
    <row r="1077" spans="6:7" x14ac:dyDescent="0.4">
      <c r="F1077">
        <f t="shared" si="32"/>
        <v>0</v>
      </c>
      <c r="G1077">
        <f t="shared" si="33"/>
        <v>0</v>
      </c>
    </row>
    <row r="1078" spans="6:7" x14ac:dyDescent="0.4">
      <c r="F1078">
        <f t="shared" si="32"/>
        <v>0</v>
      </c>
      <c r="G1078">
        <f t="shared" si="33"/>
        <v>0</v>
      </c>
    </row>
    <row r="1079" spans="6:7" x14ac:dyDescent="0.4">
      <c r="F1079">
        <f t="shared" si="32"/>
        <v>0</v>
      </c>
      <c r="G1079">
        <f t="shared" si="33"/>
        <v>0</v>
      </c>
    </row>
    <row r="1080" spans="6:7" x14ac:dyDescent="0.4">
      <c r="F1080">
        <f t="shared" si="32"/>
        <v>0</v>
      </c>
      <c r="G1080">
        <f t="shared" si="33"/>
        <v>0</v>
      </c>
    </row>
    <row r="1081" spans="6:7" x14ac:dyDescent="0.4">
      <c r="F1081">
        <f t="shared" si="32"/>
        <v>0</v>
      </c>
      <c r="G1081">
        <f t="shared" si="33"/>
        <v>0</v>
      </c>
    </row>
    <row r="1082" spans="6:7" x14ac:dyDescent="0.4">
      <c r="F1082">
        <f t="shared" si="32"/>
        <v>0</v>
      </c>
      <c r="G1082">
        <f t="shared" si="33"/>
        <v>0</v>
      </c>
    </row>
    <row r="1083" spans="6:7" x14ac:dyDescent="0.4">
      <c r="F1083">
        <f t="shared" si="32"/>
        <v>0</v>
      </c>
      <c r="G1083">
        <f t="shared" si="33"/>
        <v>0</v>
      </c>
    </row>
    <row r="1084" spans="6:7" x14ac:dyDescent="0.4">
      <c r="F1084">
        <f t="shared" si="32"/>
        <v>0</v>
      </c>
      <c r="G1084">
        <f t="shared" si="33"/>
        <v>0</v>
      </c>
    </row>
    <row r="1085" spans="6:7" x14ac:dyDescent="0.4">
      <c r="F1085">
        <f t="shared" si="32"/>
        <v>0</v>
      </c>
      <c r="G1085">
        <f t="shared" si="33"/>
        <v>0</v>
      </c>
    </row>
    <row r="1086" spans="6:7" x14ac:dyDescent="0.4">
      <c r="F1086">
        <f t="shared" si="32"/>
        <v>0</v>
      </c>
      <c r="G1086">
        <f t="shared" si="33"/>
        <v>0</v>
      </c>
    </row>
    <row r="1087" spans="6:7" x14ac:dyDescent="0.4">
      <c r="F1087">
        <f t="shared" si="32"/>
        <v>0</v>
      </c>
      <c r="G1087">
        <f t="shared" si="33"/>
        <v>0</v>
      </c>
    </row>
    <row r="1088" spans="6:7" x14ac:dyDescent="0.4">
      <c r="F1088">
        <f t="shared" si="32"/>
        <v>0</v>
      </c>
      <c r="G1088">
        <f t="shared" si="33"/>
        <v>0</v>
      </c>
    </row>
    <row r="1089" spans="6:7" x14ac:dyDescent="0.4">
      <c r="F1089">
        <f t="shared" si="32"/>
        <v>0</v>
      </c>
      <c r="G1089">
        <f t="shared" si="33"/>
        <v>0</v>
      </c>
    </row>
    <row r="1090" spans="6:7" x14ac:dyDescent="0.4">
      <c r="F1090">
        <f t="shared" si="32"/>
        <v>0</v>
      </c>
      <c r="G1090">
        <f t="shared" si="33"/>
        <v>0</v>
      </c>
    </row>
    <row r="1091" spans="6:7" x14ac:dyDescent="0.4">
      <c r="F1091">
        <f t="shared" ref="F1091:F1154" si="34">E1091*D1091</f>
        <v>0</v>
      </c>
      <c r="G1091">
        <f t="shared" ref="G1091:G1154" si="35">F1091-(F1091*0.3)</f>
        <v>0</v>
      </c>
    </row>
    <row r="1092" spans="6:7" x14ac:dyDescent="0.4">
      <c r="F1092">
        <f t="shared" si="34"/>
        <v>0</v>
      </c>
      <c r="G1092">
        <f t="shared" si="35"/>
        <v>0</v>
      </c>
    </row>
    <row r="1093" spans="6:7" x14ac:dyDescent="0.4">
      <c r="F1093">
        <f t="shared" si="34"/>
        <v>0</v>
      </c>
      <c r="G1093">
        <f t="shared" si="35"/>
        <v>0</v>
      </c>
    </row>
    <row r="1094" spans="6:7" x14ac:dyDescent="0.4">
      <c r="F1094">
        <f t="shared" si="34"/>
        <v>0</v>
      </c>
      <c r="G1094">
        <f t="shared" si="35"/>
        <v>0</v>
      </c>
    </row>
    <row r="1095" spans="6:7" x14ac:dyDescent="0.4">
      <c r="F1095">
        <f t="shared" si="34"/>
        <v>0</v>
      </c>
      <c r="G1095">
        <f t="shared" si="35"/>
        <v>0</v>
      </c>
    </row>
    <row r="1096" spans="6:7" x14ac:dyDescent="0.4">
      <c r="F1096">
        <f t="shared" si="34"/>
        <v>0</v>
      </c>
      <c r="G1096">
        <f t="shared" si="35"/>
        <v>0</v>
      </c>
    </row>
    <row r="1097" spans="6:7" x14ac:dyDescent="0.4">
      <c r="F1097">
        <f t="shared" si="34"/>
        <v>0</v>
      </c>
      <c r="G1097">
        <f t="shared" si="35"/>
        <v>0</v>
      </c>
    </row>
    <row r="1098" spans="6:7" x14ac:dyDescent="0.4">
      <c r="F1098">
        <f t="shared" si="34"/>
        <v>0</v>
      </c>
      <c r="G1098">
        <f t="shared" si="35"/>
        <v>0</v>
      </c>
    </row>
    <row r="1099" spans="6:7" x14ac:dyDescent="0.4">
      <c r="F1099">
        <f t="shared" si="34"/>
        <v>0</v>
      </c>
      <c r="G1099">
        <f t="shared" si="35"/>
        <v>0</v>
      </c>
    </row>
    <row r="1100" spans="6:7" x14ac:dyDescent="0.4">
      <c r="F1100">
        <f t="shared" si="34"/>
        <v>0</v>
      </c>
      <c r="G1100">
        <f t="shared" si="35"/>
        <v>0</v>
      </c>
    </row>
    <row r="1101" spans="6:7" x14ac:dyDescent="0.4">
      <c r="F1101">
        <f t="shared" si="34"/>
        <v>0</v>
      </c>
      <c r="G1101">
        <f t="shared" si="35"/>
        <v>0</v>
      </c>
    </row>
    <row r="1102" spans="6:7" x14ac:dyDescent="0.4">
      <c r="F1102">
        <f t="shared" si="34"/>
        <v>0</v>
      </c>
      <c r="G1102">
        <f t="shared" si="35"/>
        <v>0</v>
      </c>
    </row>
    <row r="1103" spans="6:7" x14ac:dyDescent="0.4">
      <c r="F1103">
        <f t="shared" si="34"/>
        <v>0</v>
      </c>
      <c r="G1103">
        <f t="shared" si="35"/>
        <v>0</v>
      </c>
    </row>
    <row r="1104" spans="6:7" x14ac:dyDescent="0.4">
      <c r="F1104">
        <f t="shared" si="34"/>
        <v>0</v>
      </c>
      <c r="G1104">
        <f t="shared" si="35"/>
        <v>0</v>
      </c>
    </row>
    <row r="1105" spans="6:7" x14ac:dyDescent="0.4">
      <c r="F1105">
        <f t="shared" si="34"/>
        <v>0</v>
      </c>
      <c r="G1105">
        <f t="shared" si="35"/>
        <v>0</v>
      </c>
    </row>
    <row r="1106" spans="6:7" x14ac:dyDescent="0.4">
      <c r="F1106">
        <f t="shared" si="34"/>
        <v>0</v>
      </c>
      <c r="G1106">
        <f t="shared" si="35"/>
        <v>0</v>
      </c>
    </row>
    <row r="1107" spans="6:7" x14ac:dyDescent="0.4">
      <c r="F1107">
        <f t="shared" si="34"/>
        <v>0</v>
      </c>
      <c r="G1107">
        <f t="shared" si="35"/>
        <v>0</v>
      </c>
    </row>
    <row r="1108" spans="6:7" x14ac:dyDescent="0.4">
      <c r="F1108">
        <f t="shared" si="34"/>
        <v>0</v>
      </c>
      <c r="G1108">
        <f t="shared" si="35"/>
        <v>0</v>
      </c>
    </row>
    <row r="1109" spans="6:7" x14ac:dyDescent="0.4">
      <c r="F1109">
        <f t="shared" si="34"/>
        <v>0</v>
      </c>
      <c r="G1109">
        <f t="shared" si="35"/>
        <v>0</v>
      </c>
    </row>
    <row r="1110" spans="6:7" x14ac:dyDescent="0.4">
      <c r="F1110">
        <f t="shared" si="34"/>
        <v>0</v>
      </c>
      <c r="G1110">
        <f t="shared" si="35"/>
        <v>0</v>
      </c>
    </row>
    <row r="1111" spans="6:7" x14ac:dyDescent="0.4">
      <c r="F1111">
        <f t="shared" si="34"/>
        <v>0</v>
      </c>
      <c r="G1111">
        <f t="shared" si="35"/>
        <v>0</v>
      </c>
    </row>
    <row r="1112" spans="6:7" x14ac:dyDescent="0.4">
      <c r="F1112">
        <f t="shared" si="34"/>
        <v>0</v>
      </c>
      <c r="G1112">
        <f t="shared" si="35"/>
        <v>0</v>
      </c>
    </row>
    <row r="1113" spans="6:7" x14ac:dyDescent="0.4">
      <c r="F1113">
        <f t="shared" si="34"/>
        <v>0</v>
      </c>
      <c r="G1113">
        <f t="shared" si="35"/>
        <v>0</v>
      </c>
    </row>
    <row r="1114" spans="6:7" x14ac:dyDescent="0.4">
      <c r="F1114">
        <f t="shared" si="34"/>
        <v>0</v>
      </c>
      <c r="G1114">
        <f t="shared" si="35"/>
        <v>0</v>
      </c>
    </row>
    <row r="1115" spans="6:7" x14ac:dyDescent="0.4">
      <c r="F1115">
        <f t="shared" si="34"/>
        <v>0</v>
      </c>
      <c r="G1115">
        <f t="shared" si="35"/>
        <v>0</v>
      </c>
    </row>
    <row r="1116" spans="6:7" x14ac:dyDescent="0.4">
      <c r="F1116">
        <f t="shared" si="34"/>
        <v>0</v>
      </c>
      <c r="G1116">
        <f t="shared" si="35"/>
        <v>0</v>
      </c>
    </row>
    <row r="1117" spans="6:7" x14ac:dyDescent="0.4">
      <c r="F1117">
        <f t="shared" si="34"/>
        <v>0</v>
      </c>
      <c r="G1117">
        <f t="shared" si="35"/>
        <v>0</v>
      </c>
    </row>
    <row r="1118" spans="6:7" x14ac:dyDescent="0.4">
      <c r="F1118">
        <f t="shared" si="34"/>
        <v>0</v>
      </c>
      <c r="G1118">
        <f t="shared" si="35"/>
        <v>0</v>
      </c>
    </row>
    <row r="1119" spans="6:7" x14ac:dyDescent="0.4">
      <c r="F1119">
        <f t="shared" si="34"/>
        <v>0</v>
      </c>
      <c r="G1119">
        <f t="shared" si="35"/>
        <v>0</v>
      </c>
    </row>
    <row r="1120" spans="6:7" x14ac:dyDescent="0.4">
      <c r="F1120">
        <f t="shared" si="34"/>
        <v>0</v>
      </c>
      <c r="G1120">
        <f t="shared" si="35"/>
        <v>0</v>
      </c>
    </row>
    <row r="1121" spans="6:7" x14ac:dyDescent="0.4">
      <c r="F1121">
        <f t="shared" si="34"/>
        <v>0</v>
      </c>
      <c r="G1121">
        <f t="shared" si="35"/>
        <v>0</v>
      </c>
    </row>
    <row r="1122" spans="6:7" x14ac:dyDescent="0.4">
      <c r="F1122">
        <f t="shared" si="34"/>
        <v>0</v>
      </c>
      <c r="G1122">
        <f t="shared" si="35"/>
        <v>0</v>
      </c>
    </row>
    <row r="1123" spans="6:7" x14ac:dyDescent="0.4">
      <c r="F1123">
        <f t="shared" si="34"/>
        <v>0</v>
      </c>
      <c r="G1123">
        <f t="shared" si="35"/>
        <v>0</v>
      </c>
    </row>
    <row r="1124" spans="6:7" x14ac:dyDescent="0.4">
      <c r="F1124">
        <f t="shared" si="34"/>
        <v>0</v>
      </c>
      <c r="G1124">
        <f t="shared" si="35"/>
        <v>0</v>
      </c>
    </row>
    <row r="1125" spans="6:7" x14ac:dyDescent="0.4">
      <c r="F1125">
        <f t="shared" si="34"/>
        <v>0</v>
      </c>
      <c r="G1125">
        <f t="shared" si="35"/>
        <v>0</v>
      </c>
    </row>
    <row r="1126" spans="6:7" x14ac:dyDescent="0.4">
      <c r="F1126">
        <f t="shared" si="34"/>
        <v>0</v>
      </c>
      <c r="G1126">
        <f t="shared" si="35"/>
        <v>0</v>
      </c>
    </row>
    <row r="1127" spans="6:7" x14ac:dyDescent="0.4">
      <c r="F1127">
        <f t="shared" si="34"/>
        <v>0</v>
      </c>
      <c r="G1127">
        <f t="shared" si="35"/>
        <v>0</v>
      </c>
    </row>
    <row r="1128" spans="6:7" x14ac:dyDescent="0.4">
      <c r="F1128">
        <f t="shared" si="34"/>
        <v>0</v>
      </c>
      <c r="G1128">
        <f t="shared" si="35"/>
        <v>0</v>
      </c>
    </row>
    <row r="1129" spans="6:7" x14ac:dyDescent="0.4">
      <c r="F1129">
        <f t="shared" si="34"/>
        <v>0</v>
      </c>
      <c r="G1129">
        <f t="shared" si="35"/>
        <v>0</v>
      </c>
    </row>
    <row r="1130" spans="6:7" x14ac:dyDescent="0.4">
      <c r="F1130">
        <f t="shared" si="34"/>
        <v>0</v>
      </c>
      <c r="G1130">
        <f t="shared" si="35"/>
        <v>0</v>
      </c>
    </row>
    <row r="1131" spans="6:7" x14ac:dyDescent="0.4">
      <c r="F1131">
        <f t="shared" si="34"/>
        <v>0</v>
      </c>
      <c r="G1131">
        <f t="shared" si="35"/>
        <v>0</v>
      </c>
    </row>
    <row r="1132" spans="6:7" x14ac:dyDescent="0.4">
      <c r="F1132">
        <f t="shared" si="34"/>
        <v>0</v>
      </c>
      <c r="G1132">
        <f t="shared" si="35"/>
        <v>0</v>
      </c>
    </row>
    <row r="1133" spans="6:7" x14ac:dyDescent="0.4">
      <c r="F1133">
        <f t="shared" si="34"/>
        <v>0</v>
      </c>
      <c r="G1133">
        <f t="shared" si="35"/>
        <v>0</v>
      </c>
    </row>
    <row r="1134" spans="6:7" x14ac:dyDescent="0.4">
      <c r="F1134">
        <f t="shared" si="34"/>
        <v>0</v>
      </c>
      <c r="G1134">
        <f t="shared" si="35"/>
        <v>0</v>
      </c>
    </row>
    <row r="1135" spans="6:7" x14ac:dyDescent="0.4">
      <c r="F1135">
        <f t="shared" si="34"/>
        <v>0</v>
      </c>
      <c r="G1135">
        <f t="shared" si="35"/>
        <v>0</v>
      </c>
    </row>
    <row r="1136" spans="6:7" x14ac:dyDescent="0.4">
      <c r="F1136">
        <f t="shared" si="34"/>
        <v>0</v>
      </c>
      <c r="G1136">
        <f t="shared" si="35"/>
        <v>0</v>
      </c>
    </row>
    <row r="1137" spans="6:7" x14ac:dyDescent="0.4">
      <c r="F1137">
        <f t="shared" si="34"/>
        <v>0</v>
      </c>
      <c r="G1137">
        <f t="shared" si="35"/>
        <v>0</v>
      </c>
    </row>
    <row r="1138" spans="6:7" x14ac:dyDescent="0.4">
      <c r="F1138">
        <f t="shared" si="34"/>
        <v>0</v>
      </c>
      <c r="G1138">
        <f t="shared" si="35"/>
        <v>0</v>
      </c>
    </row>
    <row r="1139" spans="6:7" x14ac:dyDescent="0.4">
      <c r="F1139">
        <f t="shared" si="34"/>
        <v>0</v>
      </c>
      <c r="G1139">
        <f t="shared" si="35"/>
        <v>0</v>
      </c>
    </row>
    <row r="1140" spans="6:7" x14ac:dyDescent="0.4">
      <c r="F1140">
        <f t="shared" si="34"/>
        <v>0</v>
      </c>
      <c r="G1140">
        <f t="shared" si="35"/>
        <v>0</v>
      </c>
    </row>
    <row r="1141" spans="6:7" x14ac:dyDescent="0.4">
      <c r="F1141">
        <f t="shared" si="34"/>
        <v>0</v>
      </c>
      <c r="G1141">
        <f t="shared" si="35"/>
        <v>0</v>
      </c>
    </row>
    <row r="1142" spans="6:7" x14ac:dyDescent="0.4">
      <c r="F1142">
        <f t="shared" si="34"/>
        <v>0</v>
      </c>
      <c r="G1142">
        <f t="shared" si="35"/>
        <v>0</v>
      </c>
    </row>
    <row r="1143" spans="6:7" x14ac:dyDescent="0.4">
      <c r="F1143">
        <f t="shared" si="34"/>
        <v>0</v>
      </c>
      <c r="G1143">
        <f t="shared" si="35"/>
        <v>0</v>
      </c>
    </row>
    <row r="1144" spans="6:7" x14ac:dyDescent="0.4">
      <c r="F1144">
        <f t="shared" si="34"/>
        <v>0</v>
      </c>
      <c r="G1144">
        <f t="shared" si="35"/>
        <v>0</v>
      </c>
    </row>
    <row r="1145" spans="6:7" x14ac:dyDescent="0.4">
      <c r="F1145">
        <f t="shared" si="34"/>
        <v>0</v>
      </c>
      <c r="G1145">
        <f t="shared" si="35"/>
        <v>0</v>
      </c>
    </row>
    <row r="1146" spans="6:7" x14ac:dyDescent="0.4">
      <c r="F1146">
        <f t="shared" si="34"/>
        <v>0</v>
      </c>
      <c r="G1146">
        <f t="shared" si="35"/>
        <v>0</v>
      </c>
    </row>
    <row r="1147" spans="6:7" x14ac:dyDescent="0.4">
      <c r="F1147">
        <f t="shared" si="34"/>
        <v>0</v>
      </c>
      <c r="G1147">
        <f t="shared" si="35"/>
        <v>0</v>
      </c>
    </row>
    <row r="1148" spans="6:7" x14ac:dyDescent="0.4">
      <c r="F1148">
        <f t="shared" si="34"/>
        <v>0</v>
      </c>
      <c r="G1148">
        <f t="shared" si="35"/>
        <v>0</v>
      </c>
    </row>
    <row r="1149" spans="6:7" x14ac:dyDescent="0.4">
      <c r="F1149">
        <f t="shared" si="34"/>
        <v>0</v>
      </c>
      <c r="G1149">
        <f t="shared" si="35"/>
        <v>0</v>
      </c>
    </row>
    <row r="1150" spans="6:7" x14ac:dyDescent="0.4">
      <c r="F1150">
        <f t="shared" si="34"/>
        <v>0</v>
      </c>
      <c r="G1150">
        <f t="shared" si="35"/>
        <v>0</v>
      </c>
    </row>
    <row r="1151" spans="6:7" x14ac:dyDescent="0.4">
      <c r="F1151">
        <f t="shared" si="34"/>
        <v>0</v>
      </c>
      <c r="G1151">
        <f t="shared" si="35"/>
        <v>0</v>
      </c>
    </row>
    <row r="1152" spans="6:7" x14ac:dyDescent="0.4">
      <c r="F1152">
        <f t="shared" si="34"/>
        <v>0</v>
      </c>
      <c r="G1152">
        <f t="shared" si="35"/>
        <v>0</v>
      </c>
    </row>
    <row r="1153" spans="6:7" x14ac:dyDescent="0.4">
      <c r="F1153">
        <f t="shared" si="34"/>
        <v>0</v>
      </c>
      <c r="G1153">
        <f t="shared" si="35"/>
        <v>0</v>
      </c>
    </row>
    <row r="1154" spans="6:7" x14ac:dyDescent="0.4">
      <c r="F1154">
        <f t="shared" si="34"/>
        <v>0</v>
      </c>
      <c r="G1154">
        <f t="shared" si="35"/>
        <v>0</v>
      </c>
    </row>
    <row r="1155" spans="6:7" x14ac:dyDescent="0.4">
      <c r="F1155">
        <f t="shared" ref="F1155:F1210" si="36">E1155*D1155</f>
        <v>0</v>
      </c>
      <c r="G1155">
        <f t="shared" ref="G1155:G1210" si="37">F1155-(F1155*0.3)</f>
        <v>0</v>
      </c>
    </row>
    <row r="1156" spans="6:7" x14ac:dyDescent="0.4">
      <c r="F1156">
        <f t="shared" si="36"/>
        <v>0</v>
      </c>
      <c r="G1156">
        <f t="shared" si="37"/>
        <v>0</v>
      </c>
    </row>
    <row r="1157" spans="6:7" x14ac:dyDescent="0.4">
      <c r="F1157">
        <f t="shared" si="36"/>
        <v>0</v>
      </c>
      <c r="G1157">
        <f t="shared" si="37"/>
        <v>0</v>
      </c>
    </row>
    <row r="1158" spans="6:7" x14ac:dyDescent="0.4">
      <c r="F1158">
        <f t="shared" si="36"/>
        <v>0</v>
      </c>
      <c r="G1158">
        <f t="shared" si="37"/>
        <v>0</v>
      </c>
    </row>
    <row r="1159" spans="6:7" x14ac:dyDescent="0.4">
      <c r="F1159">
        <f t="shared" si="36"/>
        <v>0</v>
      </c>
      <c r="G1159">
        <f t="shared" si="37"/>
        <v>0</v>
      </c>
    </row>
    <row r="1160" spans="6:7" x14ac:dyDescent="0.4">
      <c r="F1160">
        <f t="shared" si="36"/>
        <v>0</v>
      </c>
      <c r="G1160">
        <f t="shared" si="37"/>
        <v>0</v>
      </c>
    </row>
    <row r="1161" spans="6:7" x14ac:dyDescent="0.4">
      <c r="F1161">
        <f t="shared" si="36"/>
        <v>0</v>
      </c>
      <c r="G1161">
        <f t="shared" si="37"/>
        <v>0</v>
      </c>
    </row>
    <row r="1162" spans="6:7" x14ac:dyDescent="0.4">
      <c r="F1162">
        <f t="shared" si="36"/>
        <v>0</v>
      </c>
      <c r="G1162">
        <f t="shared" si="37"/>
        <v>0</v>
      </c>
    </row>
    <row r="1163" spans="6:7" x14ac:dyDescent="0.4">
      <c r="F1163">
        <f t="shared" si="36"/>
        <v>0</v>
      </c>
      <c r="G1163">
        <f t="shared" si="37"/>
        <v>0</v>
      </c>
    </row>
    <row r="1164" spans="6:7" x14ac:dyDescent="0.4">
      <c r="F1164">
        <f t="shared" si="36"/>
        <v>0</v>
      </c>
      <c r="G1164">
        <f t="shared" si="37"/>
        <v>0</v>
      </c>
    </row>
    <row r="1165" spans="6:7" x14ac:dyDescent="0.4">
      <c r="F1165">
        <f t="shared" si="36"/>
        <v>0</v>
      </c>
      <c r="G1165">
        <f t="shared" si="37"/>
        <v>0</v>
      </c>
    </row>
    <row r="1166" spans="6:7" x14ac:dyDescent="0.4">
      <c r="F1166">
        <f t="shared" si="36"/>
        <v>0</v>
      </c>
      <c r="G1166">
        <f t="shared" si="37"/>
        <v>0</v>
      </c>
    </row>
    <row r="1167" spans="6:7" x14ac:dyDescent="0.4">
      <c r="F1167">
        <f t="shared" si="36"/>
        <v>0</v>
      </c>
      <c r="G1167">
        <f t="shared" si="37"/>
        <v>0</v>
      </c>
    </row>
    <row r="1168" spans="6:7" x14ac:dyDescent="0.4">
      <c r="F1168">
        <f t="shared" si="36"/>
        <v>0</v>
      </c>
      <c r="G1168">
        <f t="shared" si="37"/>
        <v>0</v>
      </c>
    </row>
    <row r="1169" spans="6:7" x14ac:dyDescent="0.4">
      <c r="F1169">
        <f t="shared" si="36"/>
        <v>0</v>
      </c>
      <c r="G1169">
        <f t="shared" si="37"/>
        <v>0</v>
      </c>
    </row>
    <row r="1170" spans="6:7" x14ac:dyDescent="0.4">
      <c r="F1170">
        <f t="shared" si="36"/>
        <v>0</v>
      </c>
      <c r="G1170">
        <f t="shared" si="37"/>
        <v>0</v>
      </c>
    </row>
    <row r="1171" spans="6:7" x14ac:dyDescent="0.4">
      <c r="F1171">
        <f t="shared" si="36"/>
        <v>0</v>
      </c>
      <c r="G1171">
        <f t="shared" si="37"/>
        <v>0</v>
      </c>
    </row>
    <row r="1172" spans="6:7" x14ac:dyDescent="0.4">
      <c r="F1172">
        <f t="shared" si="36"/>
        <v>0</v>
      </c>
      <c r="G1172">
        <f t="shared" si="37"/>
        <v>0</v>
      </c>
    </row>
    <row r="1173" spans="6:7" x14ac:dyDescent="0.4">
      <c r="F1173">
        <f t="shared" si="36"/>
        <v>0</v>
      </c>
      <c r="G1173">
        <f t="shared" si="37"/>
        <v>0</v>
      </c>
    </row>
    <row r="1174" spans="6:7" x14ac:dyDescent="0.4">
      <c r="F1174">
        <f t="shared" si="36"/>
        <v>0</v>
      </c>
      <c r="G1174">
        <f t="shared" si="37"/>
        <v>0</v>
      </c>
    </row>
    <row r="1175" spans="6:7" x14ac:dyDescent="0.4">
      <c r="F1175">
        <f t="shared" si="36"/>
        <v>0</v>
      </c>
      <c r="G1175">
        <f t="shared" si="37"/>
        <v>0</v>
      </c>
    </row>
    <row r="1176" spans="6:7" x14ac:dyDescent="0.4">
      <c r="F1176">
        <f t="shared" si="36"/>
        <v>0</v>
      </c>
      <c r="G1176">
        <f t="shared" si="37"/>
        <v>0</v>
      </c>
    </row>
    <row r="1177" spans="6:7" x14ac:dyDescent="0.4">
      <c r="F1177">
        <f t="shared" si="36"/>
        <v>0</v>
      </c>
      <c r="G1177">
        <f t="shared" si="37"/>
        <v>0</v>
      </c>
    </row>
    <row r="1178" spans="6:7" x14ac:dyDescent="0.4">
      <c r="F1178">
        <f t="shared" si="36"/>
        <v>0</v>
      </c>
      <c r="G1178">
        <f t="shared" si="37"/>
        <v>0</v>
      </c>
    </row>
    <row r="1179" spans="6:7" x14ac:dyDescent="0.4">
      <c r="F1179">
        <f t="shared" si="36"/>
        <v>0</v>
      </c>
      <c r="G1179">
        <f t="shared" si="37"/>
        <v>0</v>
      </c>
    </row>
    <row r="1180" spans="6:7" x14ac:dyDescent="0.4">
      <c r="F1180">
        <f t="shared" si="36"/>
        <v>0</v>
      </c>
      <c r="G1180">
        <f t="shared" si="37"/>
        <v>0</v>
      </c>
    </row>
    <row r="1181" spans="6:7" x14ac:dyDescent="0.4">
      <c r="F1181">
        <f t="shared" si="36"/>
        <v>0</v>
      </c>
      <c r="G1181">
        <f t="shared" si="37"/>
        <v>0</v>
      </c>
    </row>
    <row r="1182" spans="6:7" x14ac:dyDescent="0.4">
      <c r="F1182">
        <f t="shared" si="36"/>
        <v>0</v>
      </c>
      <c r="G1182">
        <f t="shared" si="37"/>
        <v>0</v>
      </c>
    </row>
    <row r="1183" spans="6:7" x14ac:dyDescent="0.4">
      <c r="F1183">
        <f t="shared" si="36"/>
        <v>0</v>
      </c>
      <c r="G1183">
        <f t="shared" si="37"/>
        <v>0</v>
      </c>
    </row>
    <row r="1184" spans="6:7" x14ac:dyDescent="0.4">
      <c r="F1184">
        <f t="shared" si="36"/>
        <v>0</v>
      </c>
      <c r="G1184">
        <f t="shared" si="37"/>
        <v>0</v>
      </c>
    </row>
    <row r="1185" spans="6:7" x14ac:dyDescent="0.4">
      <c r="F1185">
        <f t="shared" si="36"/>
        <v>0</v>
      </c>
      <c r="G1185">
        <f t="shared" si="37"/>
        <v>0</v>
      </c>
    </row>
    <row r="1186" spans="6:7" x14ac:dyDescent="0.4">
      <c r="F1186">
        <f t="shared" si="36"/>
        <v>0</v>
      </c>
      <c r="G1186">
        <f t="shared" si="37"/>
        <v>0</v>
      </c>
    </row>
    <row r="1187" spans="6:7" x14ac:dyDescent="0.4">
      <c r="F1187">
        <f t="shared" si="36"/>
        <v>0</v>
      </c>
      <c r="G1187">
        <f t="shared" si="37"/>
        <v>0</v>
      </c>
    </row>
    <row r="1188" spans="6:7" x14ac:dyDescent="0.4">
      <c r="F1188">
        <f t="shared" si="36"/>
        <v>0</v>
      </c>
      <c r="G1188">
        <f t="shared" si="37"/>
        <v>0</v>
      </c>
    </row>
    <row r="1189" spans="6:7" x14ac:dyDescent="0.4">
      <c r="F1189">
        <f t="shared" si="36"/>
        <v>0</v>
      </c>
      <c r="G1189">
        <f t="shared" si="37"/>
        <v>0</v>
      </c>
    </row>
    <row r="1190" spans="6:7" x14ac:dyDescent="0.4">
      <c r="F1190">
        <f t="shared" si="36"/>
        <v>0</v>
      </c>
      <c r="G1190">
        <f t="shared" si="37"/>
        <v>0</v>
      </c>
    </row>
    <row r="1191" spans="6:7" x14ac:dyDescent="0.4">
      <c r="F1191">
        <f t="shared" si="36"/>
        <v>0</v>
      </c>
      <c r="G1191">
        <f t="shared" si="37"/>
        <v>0</v>
      </c>
    </row>
    <row r="1192" spans="6:7" x14ac:dyDescent="0.4">
      <c r="F1192">
        <f t="shared" si="36"/>
        <v>0</v>
      </c>
      <c r="G1192">
        <f t="shared" si="37"/>
        <v>0</v>
      </c>
    </row>
    <row r="1193" spans="6:7" x14ac:dyDescent="0.4">
      <c r="F1193">
        <f t="shared" si="36"/>
        <v>0</v>
      </c>
      <c r="G1193">
        <f t="shared" si="37"/>
        <v>0</v>
      </c>
    </row>
    <row r="1194" spans="6:7" x14ac:dyDescent="0.4">
      <c r="F1194">
        <f t="shared" si="36"/>
        <v>0</v>
      </c>
      <c r="G1194">
        <f t="shared" si="37"/>
        <v>0</v>
      </c>
    </row>
    <row r="1195" spans="6:7" x14ac:dyDescent="0.4">
      <c r="F1195">
        <f t="shared" si="36"/>
        <v>0</v>
      </c>
      <c r="G1195">
        <f t="shared" si="37"/>
        <v>0</v>
      </c>
    </row>
    <row r="1196" spans="6:7" x14ac:dyDescent="0.4">
      <c r="F1196">
        <f t="shared" si="36"/>
        <v>0</v>
      </c>
      <c r="G1196">
        <f t="shared" si="37"/>
        <v>0</v>
      </c>
    </row>
    <row r="1197" spans="6:7" x14ac:dyDescent="0.4">
      <c r="F1197">
        <f t="shared" si="36"/>
        <v>0</v>
      </c>
      <c r="G1197">
        <f t="shared" si="37"/>
        <v>0</v>
      </c>
    </row>
    <row r="1198" spans="6:7" x14ac:dyDescent="0.4">
      <c r="F1198">
        <f t="shared" si="36"/>
        <v>0</v>
      </c>
      <c r="G1198">
        <f t="shared" si="37"/>
        <v>0</v>
      </c>
    </row>
    <row r="1199" spans="6:7" x14ac:dyDescent="0.4">
      <c r="F1199">
        <f t="shared" si="36"/>
        <v>0</v>
      </c>
      <c r="G1199">
        <f t="shared" si="37"/>
        <v>0</v>
      </c>
    </row>
    <row r="1200" spans="6:7" x14ac:dyDescent="0.4">
      <c r="F1200">
        <f t="shared" si="36"/>
        <v>0</v>
      </c>
      <c r="G1200">
        <f t="shared" si="37"/>
        <v>0</v>
      </c>
    </row>
    <row r="1201" spans="6:7" x14ac:dyDescent="0.4">
      <c r="F1201">
        <f t="shared" si="36"/>
        <v>0</v>
      </c>
      <c r="G1201">
        <f t="shared" si="37"/>
        <v>0</v>
      </c>
    </row>
    <row r="1202" spans="6:7" x14ac:dyDescent="0.4">
      <c r="F1202">
        <f t="shared" si="36"/>
        <v>0</v>
      </c>
      <c r="G1202">
        <f t="shared" si="37"/>
        <v>0</v>
      </c>
    </row>
    <row r="1203" spans="6:7" x14ac:dyDescent="0.4">
      <c r="F1203">
        <f t="shared" si="36"/>
        <v>0</v>
      </c>
      <c r="G1203">
        <f t="shared" si="37"/>
        <v>0</v>
      </c>
    </row>
    <row r="1204" spans="6:7" x14ac:dyDescent="0.4">
      <c r="F1204">
        <f t="shared" si="36"/>
        <v>0</v>
      </c>
      <c r="G1204">
        <f t="shared" si="37"/>
        <v>0</v>
      </c>
    </row>
    <row r="1205" spans="6:7" x14ac:dyDescent="0.4">
      <c r="F1205">
        <f t="shared" si="36"/>
        <v>0</v>
      </c>
      <c r="G1205">
        <f t="shared" si="37"/>
        <v>0</v>
      </c>
    </row>
    <row r="1206" spans="6:7" x14ac:dyDescent="0.4">
      <c r="F1206">
        <f t="shared" si="36"/>
        <v>0</v>
      </c>
      <c r="G1206">
        <f t="shared" si="37"/>
        <v>0</v>
      </c>
    </row>
    <row r="1207" spans="6:7" x14ac:dyDescent="0.4">
      <c r="F1207">
        <f t="shared" si="36"/>
        <v>0</v>
      </c>
      <c r="G1207">
        <f t="shared" si="37"/>
        <v>0</v>
      </c>
    </row>
    <row r="1208" spans="6:7" x14ac:dyDescent="0.4">
      <c r="F1208">
        <f t="shared" si="36"/>
        <v>0</v>
      </c>
      <c r="G1208">
        <f t="shared" si="37"/>
        <v>0</v>
      </c>
    </row>
    <row r="1209" spans="6:7" x14ac:dyDescent="0.4">
      <c r="F1209">
        <f t="shared" si="36"/>
        <v>0</v>
      </c>
      <c r="G1209">
        <f t="shared" si="37"/>
        <v>0</v>
      </c>
    </row>
    <row r="1210" spans="6:7" x14ac:dyDescent="0.4">
      <c r="F1210">
        <f t="shared" si="36"/>
        <v>0</v>
      </c>
      <c r="G1210">
        <f t="shared" si="3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C7387-44D4-47F0-A606-23279FA6E3B7}">
  <sheetPr codeName="Sheet6"/>
  <dimension ref="B1:L30"/>
  <sheetViews>
    <sheetView topLeftCell="A19" workbookViewId="0">
      <selection activeCell="B20" sqref="B20:F30"/>
    </sheetView>
  </sheetViews>
  <sheetFormatPr defaultRowHeight="16" x14ac:dyDescent="0.4"/>
  <cols>
    <col min="3" max="3" width="7.33203125" bestFit="1" customWidth="1"/>
    <col min="4" max="4" width="11" bestFit="1" customWidth="1"/>
    <col min="5" max="5" width="13.25" bestFit="1" customWidth="1"/>
    <col min="6" max="6" width="12.9140625" customWidth="1"/>
    <col min="7" max="7" width="11.33203125" bestFit="1" customWidth="1"/>
  </cols>
  <sheetData>
    <row r="1" spans="3:10" x14ac:dyDescent="0.4">
      <c r="F1" t="s">
        <v>34</v>
      </c>
      <c r="G1" t="s">
        <v>35</v>
      </c>
    </row>
    <row r="2" spans="3:10" x14ac:dyDescent="0.4">
      <c r="F2">
        <f>E2*D2</f>
        <v>0</v>
      </c>
      <c r="G2">
        <f>F2-(F2*0.3)</f>
        <v>0</v>
      </c>
      <c r="I2" t="s">
        <v>32</v>
      </c>
      <c r="J2" s="7" t="e">
        <f>SUM(F2:F11)</f>
        <v>#VALUE!</v>
      </c>
    </row>
    <row r="3" spans="3:10" x14ac:dyDescent="0.4">
      <c r="F3">
        <f t="shared" ref="F3:F11" si="0">E3*D3</f>
        <v>0</v>
      </c>
      <c r="G3">
        <f t="shared" ref="G3:G11" si="1">F3-(F3*0.3)</f>
        <v>0</v>
      </c>
      <c r="I3" t="s">
        <v>36</v>
      </c>
      <c r="J3" s="7" t="e">
        <f>SUM(G2:G11)</f>
        <v>#VALUE!</v>
      </c>
    </row>
    <row r="4" spans="3:10" x14ac:dyDescent="0.4">
      <c r="F4">
        <f t="shared" si="0"/>
        <v>0</v>
      </c>
      <c r="G4">
        <f t="shared" si="1"/>
        <v>0</v>
      </c>
    </row>
    <row r="5" spans="3:10" x14ac:dyDescent="0.4">
      <c r="C5" t="s">
        <v>12</v>
      </c>
      <c r="D5" t="s">
        <v>13</v>
      </c>
      <c r="E5" t="s">
        <v>14</v>
      </c>
      <c r="F5" t="e">
        <f t="shared" si="0"/>
        <v>#VALUE!</v>
      </c>
      <c r="G5" t="e">
        <f t="shared" si="1"/>
        <v>#VALUE!</v>
      </c>
    </row>
    <row r="6" spans="3:10" x14ac:dyDescent="0.4">
      <c r="C6">
        <v>1001</v>
      </c>
      <c r="D6" t="s">
        <v>17</v>
      </c>
      <c r="E6" t="s">
        <v>18</v>
      </c>
      <c r="F6" t="e">
        <f t="shared" si="0"/>
        <v>#VALUE!</v>
      </c>
      <c r="G6" t="e">
        <f t="shared" si="1"/>
        <v>#VALUE!</v>
      </c>
    </row>
    <row r="7" spans="3:10" x14ac:dyDescent="0.4">
      <c r="C7">
        <v>1002</v>
      </c>
      <c r="D7" t="s">
        <v>19</v>
      </c>
      <c r="E7" t="s">
        <v>18</v>
      </c>
      <c r="F7" t="e">
        <f t="shared" si="0"/>
        <v>#VALUE!</v>
      </c>
      <c r="G7" t="e">
        <f t="shared" si="1"/>
        <v>#VALUE!</v>
      </c>
    </row>
    <row r="8" spans="3:10" x14ac:dyDescent="0.4">
      <c r="C8">
        <v>1003</v>
      </c>
      <c r="D8" t="s">
        <v>20</v>
      </c>
      <c r="E8" t="s">
        <v>21</v>
      </c>
      <c r="F8" t="e">
        <f t="shared" si="0"/>
        <v>#VALUE!</v>
      </c>
      <c r="G8" t="e">
        <f t="shared" si="1"/>
        <v>#VALUE!</v>
      </c>
    </row>
    <row r="9" spans="3:10" x14ac:dyDescent="0.4">
      <c r="C9">
        <v>1004</v>
      </c>
      <c r="D9" t="s">
        <v>22</v>
      </c>
      <c r="E9" t="s">
        <v>21</v>
      </c>
      <c r="F9" t="e">
        <f t="shared" si="0"/>
        <v>#VALUE!</v>
      </c>
      <c r="G9" t="e">
        <f t="shared" si="1"/>
        <v>#VALUE!</v>
      </c>
    </row>
    <row r="10" spans="3:10" x14ac:dyDescent="0.4">
      <c r="C10">
        <v>1005</v>
      </c>
      <c r="D10" t="s">
        <v>23</v>
      </c>
      <c r="E10" t="s">
        <v>18</v>
      </c>
      <c r="F10" t="e">
        <f t="shared" si="0"/>
        <v>#VALUE!</v>
      </c>
      <c r="G10" t="e">
        <f t="shared" si="1"/>
        <v>#VALUE!</v>
      </c>
    </row>
    <row r="11" spans="3:10" x14ac:dyDescent="0.4">
      <c r="C11">
        <v>1006</v>
      </c>
      <c r="D11" t="s">
        <v>24</v>
      </c>
      <c r="E11" t="s">
        <v>18</v>
      </c>
      <c r="F11" t="e">
        <f t="shared" si="0"/>
        <v>#VALUE!</v>
      </c>
      <c r="G11" t="e">
        <f t="shared" si="1"/>
        <v>#VALUE!</v>
      </c>
    </row>
    <row r="12" spans="3:10" x14ac:dyDescent="0.4">
      <c r="C12">
        <v>1007</v>
      </c>
      <c r="D12" t="s">
        <v>25</v>
      </c>
      <c r="E12" t="s">
        <v>26</v>
      </c>
      <c r="F12">
        <v>1</v>
      </c>
      <c r="G12">
        <v>30</v>
      </c>
    </row>
    <row r="13" spans="3:10" x14ac:dyDescent="0.4">
      <c r="C13">
        <v>1008</v>
      </c>
      <c r="D13" t="s">
        <v>27</v>
      </c>
      <c r="E13" t="s">
        <v>21</v>
      </c>
      <c r="F13">
        <v>2</v>
      </c>
      <c r="G13">
        <v>150</v>
      </c>
    </row>
    <row r="14" spans="3:10" x14ac:dyDescent="0.4">
      <c r="C14">
        <v>1009</v>
      </c>
      <c r="D14" t="s">
        <v>28</v>
      </c>
      <c r="E14" t="s">
        <v>18</v>
      </c>
      <c r="F14">
        <v>2</v>
      </c>
      <c r="G14">
        <v>100</v>
      </c>
    </row>
    <row r="15" spans="3:10" x14ac:dyDescent="0.4">
      <c r="C15">
        <v>1010</v>
      </c>
      <c r="D15" t="s">
        <v>29</v>
      </c>
      <c r="E15" t="s">
        <v>21</v>
      </c>
      <c r="F15">
        <v>1</v>
      </c>
      <c r="G15">
        <v>120</v>
      </c>
    </row>
    <row r="20" spans="2:12" x14ac:dyDescent="0.4">
      <c r="B20" s="1" t="s">
        <v>12</v>
      </c>
      <c r="C20" s="1" t="s">
        <v>13</v>
      </c>
      <c r="D20" s="1" t="s">
        <v>14</v>
      </c>
      <c r="E20" s="1" t="s">
        <v>15</v>
      </c>
      <c r="F20" s="1" t="s">
        <v>16</v>
      </c>
      <c r="G20" t="s">
        <v>37</v>
      </c>
      <c r="H20" t="s">
        <v>35</v>
      </c>
    </row>
    <row r="21" spans="2:12" x14ac:dyDescent="0.4">
      <c r="B21">
        <v>1001</v>
      </c>
      <c r="C21" t="s">
        <v>17</v>
      </c>
      <c r="D21" t="s">
        <v>18</v>
      </c>
      <c r="E21">
        <v>2</v>
      </c>
      <c r="F21">
        <v>800</v>
      </c>
      <c r="G21">
        <f>F21*E21</f>
        <v>1600</v>
      </c>
      <c r="H21">
        <f>G21-(G21*0.3)</f>
        <v>1120</v>
      </c>
    </row>
    <row r="22" spans="2:12" x14ac:dyDescent="0.4">
      <c r="B22">
        <v>1002</v>
      </c>
      <c r="C22" t="s">
        <v>19</v>
      </c>
      <c r="D22" t="s">
        <v>18</v>
      </c>
      <c r="E22">
        <v>1</v>
      </c>
      <c r="F22">
        <v>300</v>
      </c>
      <c r="G22">
        <f t="shared" ref="G22:G30" si="2">F22*E22</f>
        <v>300</v>
      </c>
      <c r="H22">
        <f t="shared" ref="H22:H30" si="3">G22-(G22*0.3)</f>
        <v>210</v>
      </c>
      <c r="K22" t="s">
        <v>38</v>
      </c>
      <c r="L22" s="1">
        <f>SUM(G21:G30)</f>
        <v>4650</v>
      </c>
    </row>
    <row r="23" spans="2:12" x14ac:dyDescent="0.4">
      <c r="B23">
        <v>1003</v>
      </c>
      <c r="C23" t="s">
        <v>20</v>
      </c>
      <c r="D23" t="s">
        <v>21</v>
      </c>
      <c r="E23">
        <v>1</v>
      </c>
      <c r="F23">
        <v>200</v>
      </c>
      <c r="G23">
        <f t="shared" si="2"/>
        <v>200</v>
      </c>
      <c r="H23">
        <f t="shared" si="3"/>
        <v>140</v>
      </c>
      <c r="K23" t="s">
        <v>39</v>
      </c>
      <c r="L23" s="1">
        <f>SUM(H21:H30)</f>
        <v>3255</v>
      </c>
    </row>
    <row r="24" spans="2:12" x14ac:dyDescent="0.4">
      <c r="B24">
        <v>1004</v>
      </c>
      <c r="C24" t="s">
        <v>22</v>
      </c>
      <c r="D24" t="s">
        <v>21</v>
      </c>
      <c r="E24">
        <v>4</v>
      </c>
      <c r="F24">
        <v>50</v>
      </c>
      <c r="G24">
        <f t="shared" si="2"/>
        <v>200</v>
      </c>
      <c r="H24">
        <f t="shared" si="3"/>
        <v>140</v>
      </c>
    </row>
    <row r="25" spans="2:12" x14ac:dyDescent="0.4">
      <c r="B25">
        <v>1005</v>
      </c>
      <c r="C25" t="s">
        <v>23</v>
      </c>
      <c r="D25" t="s">
        <v>18</v>
      </c>
      <c r="E25">
        <v>3</v>
      </c>
      <c r="F25">
        <v>400</v>
      </c>
      <c r="G25">
        <f t="shared" si="2"/>
        <v>1200</v>
      </c>
      <c r="H25">
        <f t="shared" si="3"/>
        <v>840</v>
      </c>
    </row>
    <row r="26" spans="2:12" x14ac:dyDescent="0.4">
      <c r="B26">
        <v>1006</v>
      </c>
      <c r="C26" t="s">
        <v>24</v>
      </c>
      <c r="D26" t="s">
        <v>18</v>
      </c>
      <c r="E26">
        <v>2</v>
      </c>
      <c r="F26">
        <v>250</v>
      </c>
      <c r="G26">
        <f t="shared" si="2"/>
        <v>500</v>
      </c>
      <c r="H26">
        <f t="shared" si="3"/>
        <v>350</v>
      </c>
    </row>
    <row r="27" spans="2:12" x14ac:dyDescent="0.4">
      <c r="B27">
        <v>1007</v>
      </c>
      <c r="C27" t="s">
        <v>25</v>
      </c>
      <c r="D27" t="s">
        <v>26</v>
      </c>
      <c r="E27">
        <v>1</v>
      </c>
      <c r="F27">
        <v>30</v>
      </c>
      <c r="G27">
        <f t="shared" si="2"/>
        <v>30</v>
      </c>
      <c r="H27">
        <f t="shared" si="3"/>
        <v>21</v>
      </c>
    </row>
    <row r="28" spans="2:12" x14ac:dyDescent="0.4">
      <c r="B28">
        <v>1008</v>
      </c>
      <c r="C28" t="s">
        <v>27</v>
      </c>
      <c r="D28" t="s">
        <v>21</v>
      </c>
      <c r="E28">
        <v>2</v>
      </c>
      <c r="F28">
        <v>150</v>
      </c>
      <c r="G28">
        <f t="shared" si="2"/>
        <v>300</v>
      </c>
      <c r="H28">
        <f t="shared" si="3"/>
        <v>210</v>
      </c>
    </row>
    <row r="29" spans="2:12" x14ac:dyDescent="0.4">
      <c r="B29">
        <v>1009</v>
      </c>
      <c r="C29" t="s">
        <v>28</v>
      </c>
      <c r="D29" t="s">
        <v>18</v>
      </c>
      <c r="E29">
        <v>2</v>
      </c>
      <c r="F29">
        <v>100</v>
      </c>
      <c r="G29">
        <f t="shared" si="2"/>
        <v>200</v>
      </c>
      <c r="H29">
        <f t="shared" si="3"/>
        <v>140</v>
      </c>
    </row>
    <row r="30" spans="2:12" x14ac:dyDescent="0.4">
      <c r="B30">
        <v>1010</v>
      </c>
      <c r="C30" t="s">
        <v>29</v>
      </c>
      <c r="D30" t="s">
        <v>21</v>
      </c>
      <c r="E30">
        <v>1</v>
      </c>
      <c r="F30">
        <v>120</v>
      </c>
      <c r="G30">
        <f t="shared" si="2"/>
        <v>120</v>
      </c>
      <c r="H30">
        <f t="shared" si="3"/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450F-CA0A-4D25-AEDF-7C16CD29EEEB}">
  <sheetPr codeName="Sheet7"/>
  <dimension ref="A1:J1210"/>
  <sheetViews>
    <sheetView topLeftCell="A9" workbookViewId="0">
      <selection activeCell="N7" sqref="N7"/>
    </sheetView>
  </sheetViews>
  <sheetFormatPr defaultRowHeight="16" x14ac:dyDescent="0.4"/>
  <sheetData>
    <row r="1" spans="1:10" x14ac:dyDescent="0.4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t="s">
        <v>37</v>
      </c>
      <c r="G1" t="s">
        <v>35</v>
      </c>
    </row>
    <row r="2" spans="1:10" x14ac:dyDescent="0.4">
      <c r="A2">
        <v>1001</v>
      </c>
      <c r="B2" t="s">
        <v>17</v>
      </c>
      <c r="C2" t="s">
        <v>18</v>
      </c>
      <c r="D2">
        <v>2</v>
      </c>
      <c r="E2">
        <v>800</v>
      </c>
      <c r="F2">
        <f>E2*D2</f>
        <v>1600</v>
      </c>
      <c r="G2">
        <f>F2-(F2*0.3)</f>
        <v>1120</v>
      </c>
      <c r="I2" t="s">
        <v>40</v>
      </c>
      <c r="J2">
        <f>SUM(F2:F1210)</f>
        <v>23370</v>
      </c>
    </row>
    <row r="3" spans="1:10" x14ac:dyDescent="0.4">
      <c r="A3">
        <v>1002</v>
      </c>
      <c r="B3" t="s">
        <v>19</v>
      </c>
      <c r="C3" t="s">
        <v>18</v>
      </c>
      <c r="D3">
        <v>1</v>
      </c>
      <c r="E3">
        <v>300</v>
      </c>
      <c r="F3">
        <f t="shared" ref="F3:F66" si="0">E3*D3</f>
        <v>300</v>
      </c>
      <c r="G3">
        <f t="shared" ref="G3:G66" si="1">F3-(F3*0.3)</f>
        <v>210</v>
      </c>
      <c r="I3" t="s">
        <v>31</v>
      </c>
      <c r="J3">
        <f>SUM(G2:G1210)</f>
        <v>16359</v>
      </c>
    </row>
    <row r="4" spans="1:10" x14ac:dyDescent="0.4">
      <c r="A4">
        <v>1003</v>
      </c>
      <c r="B4" t="s">
        <v>20</v>
      </c>
      <c r="C4" t="s">
        <v>21</v>
      </c>
      <c r="D4">
        <v>1</v>
      </c>
      <c r="E4">
        <v>200</v>
      </c>
      <c r="F4">
        <f t="shared" si="0"/>
        <v>200</v>
      </c>
      <c r="G4">
        <f t="shared" si="1"/>
        <v>140</v>
      </c>
    </row>
    <row r="5" spans="1:10" x14ac:dyDescent="0.4">
      <c r="A5">
        <v>1004</v>
      </c>
      <c r="B5" t="s">
        <v>22</v>
      </c>
      <c r="C5" t="s">
        <v>21</v>
      </c>
      <c r="D5">
        <v>4</v>
      </c>
      <c r="E5">
        <v>50</v>
      </c>
      <c r="F5">
        <f t="shared" si="0"/>
        <v>200</v>
      </c>
      <c r="G5">
        <f t="shared" si="1"/>
        <v>140</v>
      </c>
    </row>
    <row r="6" spans="1:10" x14ac:dyDescent="0.4">
      <c r="A6">
        <v>1005</v>
      </c>
      <c r="B6" t="s">
        <v>23</v>
      </c>
      <c r="C6" t="s">
        <v>18</v>
      </c>
      <c r="D6">
        <v>3</v>
      </c>
      <c r="E6">
        <v>400</v>
      </c>
      <c r="F6">
        <f t="shared" si="0"/>
        <v>1200</v>
      </c>
      <c r="G6">
        <f t="shared" si="1"/>
        <v>840</v>
      </c>
    </row>
    <row r="7" spans="1:10" x14ac:dyDescent="0.4">
      <c r="A7">
        <v>1006</v>
      </c>
      <c r="B7" t="s">
        <v>24</v>
      </c>
      <c r="C7" t="s">
        <v>18</v>
      </c>
      <c r="D7">
        <v>2</v>
      </c>
      <c r="E7">
        <v>250</v>
      </c>
      <c r="F7">
        <f t="shared" si="0"/>
        <v>500</v>
      </c>
      <c r="G7">
        <f t="shared" si="1"/>
        <v>350</v>
      </c>
    </row>
    <row r="8" spans="1:10" x14ac:dyDescent="0.4">
      <c r="A8">
        <v>1007</v>
      </c>
      <c r="B8" t="s">
        <v>25</v>
      </c>
      <c r="C8" t="s">
        <v>26</v>
      </c>
      <c r="D8">
        <v>1</v>
      </c>
      <c r="E8">
        <v>30</v>
      </c>
      <c r="F8">
        <f t="shared" si="0"/>
        <v>30</v>
      </c>
      <c r="G8">
        <f t="shared" si="1"/>
        <v>21</v>
      </c>
    </row>
    <row r="9" spans="1:10" x14ac:dyDescent="0.4">
      <c r="A9">
        <v>1008</v>
      </c>
      <c r="B9" t="s">
        <v>27</v>
      </c>
      <c r="C9" t="s">
        <v>21</v>
      </c>
      <c r="D9">
        <v>2</v>
      </c>
      <c r="E9">
        <v>150</v>
      </c>
      <c r="F9">
        <f t="shared" si="0"/>
        <v>300</v>
      </c>
      <c r="G9">
        <f t="shared" si="1"/>
        <v>210</v>
      </c>
    </row>
    <row r="10" spans="1:10" x14ac:dyDescent="0.4">
      <c r="A10">
        <v>1009</v>
      </c>
      <c r="B10" t="s">
        <v>28</v>
      </c>
      <c r="C10" t="s">
        <v>18</v>
      </c>
      <c r="D10">
        <v>2</v>
      </c>
      <c r="E10">
        <v>100</v>
      </c>
      <c r="F10">
        <f t="shared" si="0"/>
        <v>200</v>
      </c>
      <c r="G10">
        <f t="shared" si="1"/>
        <v>140</v>
      </c>
    </row>
    <row r="11" spans="1:10" x14ac:dyDescent="0.4">
      <c r="A11">
        <v>1010</v>
      </c>
      <c r="B11" t="s">
        <v>29</v>
      </c>
      <c r="C11" t="s">
        <v>21</v>
      </c>
      <c r="D11">
        <v>1</v>
      </c>
      <c r="E11">
        <v>120</v>
      </c>
      <c r="F11">
        <f t="shared" si="0"/>
        <v>120</v>
      </c>
      <c r="G11">
        <f t="shared" si="1"/>
        <v>84</v>
      </c>
    </row>
    <row r="12" spans="1:10" x14ac:dyDescent="0.4">
      <c r="A12">
        <v>1001</v>
      </c>
      <c r="B12" t="s">
        <v>17</v>
      </c>
      <c r="C12" t="s">
        <v>18</v>
      </c>
      <c r="D12">
        <v>2</v>
      </c>
      <c r="E12">
        <v>800</v>
      </c>
      <c r="F12">
        <f t="shared" si="0"/>
        <v>1600</v>
      </c>
      <c r="G12">
        <f t="shared" si="1"/>
        <v>1120</v>
      </c>
    </row>
    <row r="13" spans="1:10" x14ac:dyDescent="0.4">
      <c r="A13">
        <v>1002</v>
      </c>
      <c r="B13" t="s">
        <v>19</v>
      </c>
      <c r="C13" t="s">
        <v>18</v>
      </c>
      <c r="D13">
        <v>1</v>
      </c>
      <c r="E13">
        <v>300</v>
      </c>
      <c r="F13">
        <f t="shared" si="0"/>
        <v>300</v>
      </c>
      <c r="G13">
        <f t="shared" si="1"/>
        <v>210</v>
      </c>
    </row>
    <row r="14" spans="1:10" x14ac:dyDescent="0.4">
      <c r="A14">
        <v>1003</v>
      </c>
      <c r="B14" t="s">
        <v>20</v>
      </c>
      <c r="C14" t="s">
        <v>21</v>
      </c>
      <c r="D14">
        <v>1</v>
      </c>
      <c r="E14">
        <v>200</v>
      </c>
      <c r="F14">
        <f t="shared" si="0"/>
        <v>200</v>
      </c>
      <c r="G14">
        <f t="shared" si="1"/>
        <v>140</v>
      </c>
    </row>
    <row r="15" spans="1:10" x14ac:dyDescent="0.4">
      <c r="A15">
        <v>1004</v>
      </c>
      <c r="B15" t="s">
        <v>22</v>
      </c>
      <c r="C15" t="s">
        <v>21</v>
      </c>
      <c r="D15">
        <v>4</v>
      </c>
      <c r="E15">
        <v>50</v>
      </c>
      <c r="F15">
        <f t="shared" si="0"/>
        <v>200</v>
      </c>
      <c r="G15">
        <f t="shared" si="1"/>
        <v>140</v>
      </c>
    </row>
    <row r="16" spans="1:10" x14ac:dyDescent="0.4">
      <c r="A16">
        <v>1005</v>
      </c>
      <c r="B16" t="s">
        <v>23</v>
      </c>
      <c r="C16" t="s">
        <v>18</v>
      </c>
      <c r="D16">
        <v>3</v>
      </c>
      <c r="E16">
        <v>400</v>
      </c>
      <c r="F16">
        <f t="shared" si="0"/>
        <v>1200</v>
      </c>
      <c r="G16">
        <f t="shared" si="1"/>
        <v>840</v>
      </c>
    </row>
    <row r="17" spans="1:7" x14ac:dyDescent="0.4">
      <c r="A17">
        <v>1006</v>
      </c>
      <c r="B17" t="s">
        <v>24</v>
      </c>
      <c r="C17" t="s">
        <v>18</v>
      </c>
      <c r="D17">
        <v>2</v>
      </c>
      <c r="E17">
        <v>250</v>
      </c>
      <c r="F17">
        <f t="shared" si="0"/>
        <v>500</v>
      </c>
      <c r="G17">
        <f t="shared" si="1"/>
        <v>350</v>
      </c>
    </row>
    <row r="18" spans="1:7" x14ac:dyDescent="0.4">
      <c r="A18">
        <v>1007</v>
      </c>
      <c r="B18" t="s">
        <v>25</v>
      </c>
      <c r="C18" t="s">
        <v>26</v>
      </c>
      <c r="D18">
        <v>1</v>
      </c>
      <c r="E18">
        <v>30</v>
      </c>
      <c r="F18">
        <f t="shared" si="0"/>
        <v>30</v>
      </c>
      <c r="G18">
        <f t="shared" si="1"/>
        <v>21</v>
      </c>
    </row>
    <row r="19" spans="1:7" x14ac:dyDescent="0.4">
      <c r="A19">
        <v>1008</v>
      </c>
      <c r="B19" t="s">
        <v>27</v>
      </c>
      <c r="C19" t="s">
        <v>21</v>
      </c>
      <c r="D19">
        <v>2</v>
      </c>
      <c r="E19">
        <v>150</v>
      </c>
      <c r="F19">
        <f t="shared" si="0"/>
        <v>300</v>
      </c>
      <c r="G19">
        <f t="shared" si="1"/>
        <v>210</v>
      </c>
    </row>
    <row r="20" spans="1:7" x14ac:dyDescent="0.4">
      <c r="A20">
        <v>1009</v>
      </c>
      <c r="B20" t="s">
        <v>28</v>
      </c>
      <c r="C20" t="s">
        <v>18</v>
      </c>
      <c r="D20">
        <v>2</v>
      </c>
      <c r="E20">
        <v>100</v>
      </c>
      <c r="F20">
        <f t="shared" si="0"/>
        <v>200</v>
      </c>
      <c r="G20">
        <f t="shared" si="1"/>
        <v>140</v>
      </c>
    </row>
    <row r="21" spans="1:7" x14ac:dyDescent="0.4">
      <c r="A21">
        <v>1010</v>
      </c>
      <c r="B21" t="s">
        <v>29</v>
      </c>
      <c r="C21" t="s">
        <v>21</v>
      </c>
      <c r="D21">
        <v>1</v>
      </c>
      <c r="E21">
        <v>120</v>
      </c>
      <c r="F21">
        <f t="shared" si="0"/>
        <v>120</v>
      </c>
      <c r="G21">
        <f t="shared" si="1"/>
        <v>84</v>
      </c>
    </row>
    <row r="22" spans="1:7" x14ac:dyDescent="0.4">
      <c r="A22">
        <v>1001</v>
      </c>
      <c r="B22" t="s">
        <v>17</v>
      </c>
      <c r="C22" t="s">
        <v>18</v>
      </c>
      <c r="D22">
        <v>2</v>
      </c>
      <c r="E22">
        <v>800</v>
      </c>
      <c r="F22">
        <f t="shared" si="0"/>
        <v>1600</v>
      </c>
      <c r="G22">
        <f t="shared" si="1"/>
        <v>1120</v>
      </c>
    </row>
    <row r="23" spans="1:7" x14ac:dyDescent="0.4">
      <c r="A23">
        <v>1002</v>
      </c>
      <c r="B23" t="s">
        <v>19</v>
      </c>
      <c r="C23" t="s">
        <v>18</v>
      </c>
      <c r="D23">
        <v>1</v>
      </c>
      <c r="E23">
        <v>300</v>
      </c>
      <c r="F23">
        <f t="shared" si="0"/>
        <v>300</v>
      </c>
      <c r="G23">
        <f t="shared" si="1"/>
        <v>210</v>
      </c>
    </row>
    <row r="24" spans="1:7" x14ac:dyDescent="0.4">
      <c r="A24">
        <v>1003</v>
      </c>
      <c r="B24" t="s">
        <v>20</v>
      </c>
      <c r="C24" t="s">
        <v>21</v>
      </c>
      <c r="D24">
        <v>1</v>
      </c>
      <c r="E24">
        <v>200</v>
      </c>
      <c r="F24">
        <f t="shared" si="0"/>
        <v>200</v>
      </c>
      <c r="G24">
        <f t="shared" si="1"/>
        <v>140</v>
      </c>
    </row>
    <row r="25" spans="1:7" x14ac:dyDescent="0.4">
      <c r="A25">
        <v>1004</v>
      </c>
      <c r="B25" t="s">
        <v>22</v>
      </c>
      <c r="C25" t="s">
        <v>21</v>
      </c>
      <c r="D25">
        <v>4</v>
      </c>
      <c r="E25">
        <v>50</v>
      </c>
      <c r="F25">
        <f t="shared" si="0"/>
        <v>200</v>
      </c>
      <c r="G25">
        <f t="shared" si="1"/>
        <v>140</v>
      </c>
    </row>
    <row r="26" spans="1:7" x14ac:dyDescent="0.4">
      <c r="A26">
        <v>1005</v>
      </c>
      <c r="B26" t="s">
        <v>23</v>
      </c>
      <c r="C26" t="s">
        <v>18</v>
      </c>
      <c r="D26">
        <v>3</v>
      </c>
      <c r="E26">
        <v>400</v>
      </c>
      <c r="F26">
        <f t="shared" si="0"/>
        <v>1200</v>
      </c>
      <c r="G26">
        <f t="shared" si="1"/>
        <v>840</v>
      </c>
    </row>
    <row r="27" spans="1:7" x14ac:dyDescent="0.4">
      <c r="A27">
        <v>1006</v>
      </c>
      <c r="B27" t="s">
        <v>24</v>
      </c>
      <c r="C27" t="s">
        <v>18</v>
      </c>
      <c r="D27">
        <v>2</v>
      </c>
      <c r="E27">
        <v>250</v>
      </c>
      <c r="F27">
        <f t="shared" si="0"/>
        <v>500</v>
      </c>
      <c r="G27">
        <f t="shared" si="1"/>
        <v>350</v>
      </c>
    </row>
    <row r="28" spans="1:7" x14ac:dyDescent="0.4">
      <c r="A28">
        <v>1007</v>
      </c>
      <c r="B28" t="s">
        <v>25</v>
      </c>
      <c r="C28" t="s">
        <v>26</v>
      </c>
      <c r="D28">
        <v>1</v>
      </c>
      <c r="E28">
        <v>30</v>
      </c>
      <c r="F28">
        <f t="shared" si="0"/>
        <v>30</v>
      </c>
      <c r="G28">
        <f t="shared" si="1"/>
        <v>21</v>
      </c>
    </row>
    <row r="29" spans="1:7" x14ac:dyDescent="0.4">
      <c r="A29">
        <v>1008</v>
      </c>
      <c r="B29" t="s">
        <v>27</v>
      </c>
      <c r="C29" t="s">
        <v>21</v>
      </c>
      <c r="D29">
        <v>2</v>
      </c>
      <c r="E29">
        <v>150</v>
      </c>
      <c r="F29">
        <f t="shared" si="0"/>
        <v>300</v>
      </c>
      <c r="G29">
        <f t="shared" si="1"/>
        <v>210</v>
      </c>
    </row>
    <row r="30" spans="1:7" x14ac:dyDescent="0.4">
      <c r="A30">
        <v>1009</v>
      </c>
      <c r="B30" t="s">
        <v>28</v>
      </c>
      <c r="C30" t="s">
        <v>18</v>
      </c>
      <c r="D30">
        <v>2</v>
      </c>
      <c r="E30">
        <v>100</v>
      </c>
      <c r="F30">
        <f t="shared" si="0"/>
        <v>200</v>
      </c>
      <c r="G30">
        <f t="shared" si="1"/>
        <v>140</v>
      </c>
    </row>
    <row r="31" spans="1:7" x14ac:dyDescent="0.4">
      <c r="A31">
        <v>1010</v>
      </c>
      <c r="B31" t="s">
        <v>29</v>
      </c>
      <c r="C31" t="s">
        <v>21</v>
      </c>
      <c r="D31">
        <v>1</v>
      </c>
      <c r="E31">
        <v>120</v>
      </c>
      <c r="F31">
        <f t="shared" si="0"/>
        <v>120</v>
      </c>
      <c r="G31">
        <f t="shared" si="1"/>
        <v>84</v>
      </c>
    </row>
    <row r="32" spans="1:7" x14ac:dyDescent="0.4">
      <c r="A32">
        <v>1001</v>
      </c>
      <c r="B32" t="s">
        <v>17</v>
      </c>
      <c r="C32" t="s">
        <v>18</v>
      </c>
      <c r="D32">
        <v>2</v>
      </c>
      <c r="E32">
        <v>800</v>
      </c>
      <c r="F32">
        <f t="shared" si="0"/>
        <v>1600</v>
      </c>
      <c r="G32">
        <f t="shared" si="1"/>
        <v>1120</v>
      </c>
    </row>
    <row r="33" spans="1:7" x14ac:dyDescent="0.4">
      <c r="A33">
        <v>1002</v>
      </c>
      <c r="B33" t="s">
        <v>19</v>
      </c>
      <c r="C33" t="s">
        <v>18</v>
      </c>
      <c r="D33">
        <v>1</v>
      </c>
      <c r="E33">
        <v>300</v>
      </c>
      <c r="F33">
        <f t="shared" si="0"/>
        <v>300</v>
      </c>
      <c r="G33">
        <f t="shared" si="1"/>
        <v>210</v>
      </c>
    </row>
    <row r="34" spans="1:7" x14ac:dyDescent="0.4">
      <c r="A34">
        <v>1003</v>
      </c>
      <c r="B34" t="s">
        <v>20</v>
      </c>
      <c r="C34" t="s">
        <v>21</v>
      </c>
      <c r="D34">
        <v>1</v>
      </c>
      <c r="E34">
        <v>200</v>
      </c>
      <c r="F34">
        <f t="shared" si="0"/>
        <v>200</v>
      </c>
      <c r="G34">
        <f t="shared" si="1"/>
        <v>140</v>
      </c>
    </row>
    <row r="35" spans="1:7" x14ac:dyDescent="0.4">
      <c r="A35">
        <v>1004</v>
      </c>
      <c r="B35" t="s">
        <v>22</v>
      </c>
      <c r="C35" t="s">
        <v>21</v>
      </c>
      <c r="D35">
        <v>4</v>
      </c>
      <c r="E35">
        <v>50</v>
      </c>
      <c r="F35">
        <f t="shared" si="0"/>
        <v>200</v>
      </c>
      <c r="G35">
        <f t="shared" si="1"/>
        <v>140</v>
      </c>
    </row>
    <row r="36" spans="1:7" x14ac:dyDescent="0.4">
      <c r="A36">
        <v>1005</v>
      </c>
      <c r="B36" t="s">
        <v>23</v>
      </c>
      <c r="C36" t="s">
        <v>18</v>
      </c>
      <c r="D36">
        <v>3</v>
      </c>
      <c r="E36">
        <v>400</v>
      </c>
      <c r="F36">
        <f t="shared" si="0"/>
        <v>1200</v>
      </c>
      <c r="G36">
        <f t="shared" si="1"/>
        <v>840</v>
      </c>
    </row>
    <row r="37" spans="1:7" x14ac:dyDescent="0.4">
      <c r="A37">
        <v>1006</v>
      </c>
      <c r="B37" t="s">
        <v>24</v>
      </c>
      <c r="C37" t="s">
        <v>18</v>
      </c>
      <c r="D37">
        <v>2</v>
      </c>
      <c r="E37">
        <v>250</v>
      </c>
      <c r="F37">
        <f t="shared" si="0"/>
        <v>500</v>
      </c>
      <c r="G37">
        <f t="shared" si="1"/>
        <v>350</v>
      </c>
    </row>
    <row r="38" spans="1:7" x14ac:dyDescent="0.4">
      <c r="A38">
        <v>1007</v>
      </c>
      <c r="B38" t="s">
        <v>25</v>
      </c>
      <c r="C38" t="s">
        <v>26</v>
      </c>
      <c r="D38">
        <v>1</v>
      </c>
      <c r="E38">
        <v>30</v>
      </c>
      <c r="F38">
        <f t="shared" si="0"/>
        <v>30</v>
      </c>
      <c r="G38">
        <f t="shared" si="1"/>
        <v>21</v>
      </c>
    </row>
    <row r="39" spans="1:7" x14ac:dyDescent="0.4">
      <c r="A39">
        <v>1008</v>
      </c>
      <c r="B39" t="s">
        <v>27</v>
      </c>
      <c r="C39" t="s">
        <v>21</v>
      </c>
      <c r="D39">
        <v>2</v>
      </c>
      <c r="E39">
        <v>150</v>
      </c>
      <c r="F39">
        <f t="shared" si="0"/>
        <v>300</v>
      </c>
      <c r="G39">
        <f t="shared" si="1"/>
        <v>210</v>
      </c>
    </row>
    <row r="40" spans="1:7" x14ac:dyDescent="0.4">
      <c r="A40">
        <v>1009</v>
      </c>
      <c r="B40" t="s">
        <v>28</v>
      </c>
      <c r="C40" t="s">
        <v>18</v>
      </c>
      <c r="D40">
        <v>2</v>
      </c>
      <c r="E40">
        <v>100</v>
      </c>
      <c r="F40">
        <f t="shared" si="0"/>
        <v>200</v>
      </c>
      <c r="G40">
        <f t="shared" si="1"/>
        <v>140</v>
      </c>
    </row>
    <row r="41" spans="1:7" x14ac:dyDescent="0.4">
      <c r="A41">
        <v>1010</v>
      </c>
      <c r="B41" t="s">
        <v>29</v>
      </c>
      <c r="C41" t="s">
        <v>21</v>
      </c>
      <c r="D41">
        <v>1</v>
      </c>
      <c r="E41">
        <v>120</v>
      </c>
      <c r="F41">
        <f t="shared" si="0"/>
        <v>120</v>
      </c>
      <c r="G41">
        <f t="shared" si="1"/>
        <v>84</v>
      </c>
    </row>
    <row r="42" spans="1:7" x14ac:dyDescent="0.4">
      <c r="A42">
        <v>1010</v>
      </c>
      <c r="B42" t="s">
        <v>29</v>
      </c>
      <c r="C42" t="s">
        <v>21</v>
      </c>
      <c r="D42">
        <v>1</v>
      </c>
      <c r="E42">
        <v>120</v>
      </c>
      <c r="F42">
        <f t="shared" ref="F42:F52" si="2">E42*D42</f>
        <v>120</v>
      </c>
      <c r="G42">
        <f t="shared" si="1"/>
        <v>84</v>
      </c>
    </row>
    <row r="43" spans="1:7" x14ac:dyDescent="0.4">
      <c r="A43">
        <v>1001</v>
      </c>
      <c r="B43" t="s">
        <v>17</v>
      </c>
      <c r="C43" t="s">
        <v>18</v>
      </c>
      <c r="D43">
        <v>2</v>
      </c>
      <c r="E43">
        <v>800</v>
      </c>
      <c r="F43">
        <f t="shared" si="2"/>
        <v>1600</v>
      </c>
      <c r="G43">
        <f t="shared" si="1"/>
        <v>1120</v>
      </c>
    </row>
    <row r="44" spans="1:7" x14ac:dyDescent="0.4">
      <c r="A44">
        <v>1002</v>
      </c>
      <c r="B44" t="s">
        <v>19</v>
      </c>
      <c r="C44" t="s">
        <v>18</v>
      </c>
      <c r="D44">
        <v>1</v>
      </c>
      <c r="E44">
        <v>300</v>
      </c>
      <c r="F44">
        <f t="shared" si="2"/>
        <v>300</v>
      </c>
      <c r="G44">
        <f t="shared" si="1"/>
        <v>210</v>
      </c>
    </row>
    <row r="45" spans="1:7" x14ac:dyDescent="0.4">
      <c r="A45">
        <v>1003</v>
      </c>
      <c r="B45" t="s">
        <v>20</v>
      </c>
      <c r="C45" t="s">
        <v>21</v>
      </c>
      <c r="D45">
        <v>1</v>
      </c>
      <c r="E45">
        <v>200</v>
      </c>
      <c r="F45">
        <f t="shared" si="2"/>
        <v>200</v>
      </c>
      <c r="G45">
        <f t="shared" si="1"/>
        <v>140</v>
      </c>
    </row>
    <row r="46" spans="1:7" x14ac:dyDescent="0.4">
      <c r="A46">
        <v>1004</v>
      </c>
      <c r="B46" t="s">
        <v>22</v>
      </c>
      <c r="C46" t="s">
        <v>21</v>
      </c>
      <c r="D46">
        <v>4</v>
      </c>
      <c r="E46">
        <v>50</v>
      </c>
      <c r="F46">
        <f t="shared" si="2"/>
        <v>200</v>
      </c>
      <c r="G46">
        <f t="shared" si="1"/>
        <v>140</v>
      </c>
    </row>
    <row r="47" spans="1:7" x14ac:dyDescent="0.4">
      <c r="A47">
        <v>1005</v>
      </c>
      <c r="B47" t="s">
        <v>23</v>
      </c>
      <c r="C47" t="s">
        <v>18</v>
      </c>
      <c r="D47">
        <v>3</v>
      </c>
      <c r="E47">
        <v>400</v>
      </c>
      <c r="F47">
        <f t="shared" si="2"/>
        <v>1200</v>
      </c>
      <c r="G47">
        <f t="shared" si="1"/>
        <v>840</v>
      </c>
    </row>
    <row r="48" spans="1:7" x14ac:dyDescent="0.4">
      <c r="A48">
        <v>1006</v>
      </c>
      <c r="B48" t="s">
        <v>24</v>
      </c>
      <c r="C48" t="s">
        <v>18</v>
      </c>
      <c r="D48">
        <v>2</v>
      </c>
      <c r="E48">
        <v>250</v>
      </c>
      <c r="F48">
        <f t="shared" si="2"/>
        <v>500</v>
      </c>
      <c r="G48">
        <f t="shared" si="1"/>
        <v>350</v>
      </c>
    </row>
    <row r="49" spans="1:7" x14ac:dyDescent="0.4">
      <c r="A49">
        <v>1007</v>
      </c>
      <c r="B49" t="s">
        <v>25</v>
      </c>
      <c r="C49" t="s">
        <v>26</v>
      </c>
      <c r="D49">
        <v>1</v>
      </c>
      <c r="E49">
        <v>30</v>
      </c>
      <c r="F49">
        <f t="shared" si="2"/>
        <v>30</v>
      </c>
      <c r="G49">
        <f t="shared" si="1"/>
        <v>21</v>
      </c>
    </row>
    <row r="50" spans="1:7" x14ac:dyDescent="0.4">
      <c r="A50">
        <v>1008</v>
      </c>
      <c r="B50" t="s">
        <v>27</v>
      </c>
      <c r="C50" t="s">
        <v>21</v>
      </c>
      <c r="D50">
        <v>2</v>
      </c>
      <c r="E50">
        <v>150</v>
      </c>
      <c r="F50">
        <f t="shared" si="2"/>
        <v>300</v>
      </c>
      <c r="G50">
        <f t="shared" si="1"/>
        <v>210</v>
      </c>
    </row>
    <row r="51" spans="1:7" x14ac:dyDescent="0.4">
      <c r="A51">
        <v>1009</v>
      </c>
      <c r="B51" t="s">
        <v>28</v>
      </c>
      <c r="C51" t="s">
        <v>18</v>
      </c>
      <c r="D51">
        <v>2</v>
      </c>
      <c r="E51">
        <v>100</v>
      </c>
      <c r="F51">
        <f t="shared" si="2"/>
        <v>200</v>
      </c>
      <c r="G51">
        <f t="shared" si="1"/>
        <v>140</v>
      </c>
    </row>
    <row r="52" spans="1:7" x14ac:dyDescent="0.4">
      <c r="A52">
        <v>1010</v>
      </c>
      <c r="B52" t="s">
        <v>29</v>
      </c>
      <c r="C52" t="s">
        <v>21</v>
      </c>
      <c r="D52">
        <v>1</v>
      </c>
      <c r="E52">
        <v>120</v>
      </c>
      <c r="F52">
        <f t="shared" si="2"/>
        <v>120</v>
      </c>
      <c r="G52">
        <f t="shared" si="1"/>
        <v>84</v>
      </c>
    </row>
    <row r="53" spans="1:7" x14ac:dyDescent="0.4">
      <c r="F53">
        <f t="shared" si="0"/>
        <v>0</v>
      </c>
      <c r="G53">
        <f t="shared" si="1"/>
        <v>0</v>
      </c>
    </row>
    <row r="54" spans="1:7" x14ac:dyDescent="0.4">
      <c r="F54">
        <f t="shared" si="0"/>
        <v>0</v>
      </c>
      <c r="G54">
        <f t="shared" si="1"/>
        <v>0</v>
      </c>
    </row>
    <row r="55" spans="1:7" x14ac:dyDescent="0.4">
      <c r="F55">
        <f t="shared" si="0"/>
        <v>0</v>
      </c>
      <c r="G55">
        <f t="shared" si="1"/>
        <v>0</v>
      </c>
    </row>
    <row r="56" spans="1:7" x14ac:dyDescent="0.4">
      <c r="F56">
        <f t="shared" si="0"/>
        <v>0</v>
      </c>
      <c r="G56">
        <f t="shared" si="1"/>
        <v>0</v>
      </c>
    </row>
    <row r="57" spans="1:7" x14ac:dyDescent="0.4">
      <c r="F57">
        <f t="shared" si="0"/>
        <v>0</v>
      </c>
      <c r="G57">
        <f t="shared" si="1"/>
        <v>0</v>
      </c>
    </row>
    <row r="58" spans="1:7" x14ac:dyDescent="0.4">
      <c r="F58">
        <f t="shared" si="0"/>
        <v>0</v>
      </c>
      <c r="G58">
        <f t="shared" si="1"/>
        <v>0</v>
      </c>
    </row>
    <row r="59" spans="1:7" x14ac:dyDescent="0.4">
      <c r="F59">
        <f t="shared" si="0"/>
        <v>0</v>
      </c>
      <c r="G59">
        <f t="shared" si="1"/>
        <v>0</v>
      </c>
    </row>
    <row r="60" spans="1:7" x14ac:dyDescent="0.4">
      <c r="F60">
        <f t="shared" si="0"/>
        <v>0</v>
      </c>
      <c r="G60">
        <f t="shared" si="1"/>
        <v>0</v>
      </c>
    </row>
    <row r="61" spans="1:7" x14ac:dyDescent="0.4">
      <c r="F61">
        <f t="shared" si="0"/>
        <v>0</v>
      </c>
      <c r="G61">
        <f t="shared" si="1"/>
        <v>0</v>
      </c>
    </row>
    <row r="62" spans="1:7" x14ac:dyDescent="0.4">
      <c r="F62">
        <f t="shared" si="0"/>
        <v>0</v>
      </c>
      <c r="G62">
        <f t="shared" si="1"/>
        <v>0</v>
      </c>
    </row>
    <row r="63" spans="1:7" x14ac:dyDescent="0.4">
      <c r="F63">
        <f t="shared" si="0"/>
        <v>0</v>
      </c>
      <c r="G63">
        <f t="shared" si="1"/>
        <v>0</v>
      </c>
    </row>
    <row r="64" spans="1:7" x14ac:dyDescent="0.4">
      <c r="F64">
        <f t="shared" si="0"/>
        <v>0</v>
      </c>
      <c r="G64">
        <f t="shared" si="1"/>
        <v>0</v>
      </c>
    </row>
    <row r="65" spans="6:7" x14ac:dyDescent="0.4">
      <c r="F65">
        <f t="shared" si="0"/>
        <v>0</v>
      </c>
      <c r="G65">
        <f t="shared" si="1"/>
        <v>0</v>
      </c>
    </row>
    <row r="66" spans="6:7" x14ac:dyDescent="0.4">
      <c r="F66">
        <f t="shared" si="0"/>
        <v>0</v>
      </c>
      <c r="G66">
        <f t="shared" si="1"/>
        <v>0</v>
      </c>
    </row>
    <row r="67" spans="6:7" x14ac:dyDescent="0.4">
      <c r="F67">
        <f t="shared" ref="F67:F130" si="3">E67*D67</f>
        <v>0</v>
      </c>
      <c r="G67">
        <f t="shared" ref="G67:G130" si="4">F67-(F67*0.3)</f>
        <v>0</v>
      </c>
    </row>
    <row r="68" spans="6:7" x14ac:dyDescent="0.4">
      <c r="F68">
        <f t="shared" si="3"/>
        <v>0</v>
      </c>
      <c r="G68">
        <f t="shared" si="4"/>
        <v>0</v>
      </c>
    </row>
    <row r="69" spans="6:7" x14ac:dyDescent="0.4">
      <c r="F69">
        <f t="shared" si="3"/>
        <v>0</v>
      </c>
      <c r="G69">
        <f t="shared" si="4"/>
        <v>0</v>
      </c>
    </row>
    <row r="70" spans="6:7" x14ac:dyDescent="0.4">
      <c r="F70">
        <f t="shared" si="3"/>
        <v>0</v>
      </c>
      <c r="G70">
        <f t="shared" si="4"/>
        <v>0</v>
      </c>
    </row>
    <row r="71" spans="6:7" x14ac:dyDescent="0.4">
      <c r="F71">
        <f t="shared" si="3"/>
        <v>0</v>
      </c>
      <c r="G71">
        <f t="shared" si="4"/>
        <v>0</v>
      </c>
    </row>
    <row r="72" spans="6:7" x14ac:dyDescent="0.4">
      <c r="F72">
        <f t="shared" si="3"/>
        <v>0</v>
      </c>
      <c r="G72">
        <f t="shared" si="4"/>
        <v>0</v>
      </c>
    </row>
    <row r="73" spans="6:7" x14ac:dyDescent="0.4">
      <c r="F73">
        <f t="shared" si="3"/>
        <v>0</v>
      </c>
      <c r="G73">
        <f t="shared" si="4"/>
        <v>0</v>
      </c>
    </row>
    <row r="74" spans="6:7" x14ac:dyDescent="0.4">
      <c r="F74">
        <f t="shared" si="3"/>
        <v>0</v>
      </c>
      <c r="G74">
        <f t="shared" si="4"/>
        <v>0</v>
      </c>
    </row>
    <row r="75" spans="6:7" x14ac:dyDescent="0.4">
      <c r="F75">
        <f t="shared" si="3"/>
        <v>0</v>
      </c>
      <c r="G75">
        <f t="shared" si="4"/>
        <v>0</v>
      </c>
    </row>
    <row r="76" spans="6:7" x14ac:dyDescent="0.4">
      <c r="F76">
        <f t="shared" si="3"/>
        <v>0</v>
      </c>
      <c r="G76">
        <f t="shared" si="4"/>
        <v>0</v>
      </c>
    </row>
    <row r="77" spans="6:7" x14ac:dyDescent="0.4">
      <c r="F77">
        <f t="shared" si="3"/>
        <v>0</v>
      </c>
      <c r="G77">
        <f t="shared" si="4"/>
        <v>0</v>
      </c>
    </row>
    <row r="78" spans="6:7" x14ac:dyDescent="0.4">
      <c r="F78">
        <f t="shared" si="3"/>
        <v>0</v>
      </c>
      <c r="G78">
        <f t="shared" si="4"/>
        <v>0</v>
      </c>
    </row>
    <row r="79" spans="6:7" x14ac:dyDescent="0.4">
      <c r="F79">
        <f t="shared" si="3"/>
        <v>0</v>
      </c>
      <c r="G79">
        <f t="shared" si="4"/>
        <v>0</v>
      </c>
    </row>
    <row r="80" spans="6:7" x14ac:dyDescent="0.4">
      <c r="F80">
        <f t="shared" si="3"/>
        <v>0</v>
      </c>
      <c r="G80">
        <f t="shared" si="4"/>
        <v>0</v>
      </c>
    </row>
    <row r="81" spans="6:7" x14ac:dyDescent="0.4">
      <c r="F81">
        <f t="shared" si="3"/>
        <v>0</v>
      </c>
      <c r="G81">
        <f t="shared" si="4"/>
        <v>0</v>
      </c>
    </row>
    <row r="82" spans="6:7" x14ac:dyDescent="0.4">
      <c r="F82">
        <f t="shared" si="3"/>
        <v>0</v>
      </c>
      <c r="G82">
        <f t="shared" si="4"/>
        <v>0</v>
      </c>
    </row>
    <row r="83" spans="6:7" x14ac:dyDescent="0.4">
      <c r="F83">
        <f t="shared" si="3"/>
        <v>0</v>
      </c>
      <c r="G83">
        <f t="shared" si="4"/>
        <v>0</v>
      </c>
    </row>
    <row r="84" spans="6:7" x14ac:dyDescent="0.4">
      <c r="F84">
        <f t="shared" si="3"/>
        <v>0</v>
      </c>
      <c r="G84">
        <f t="shared" si="4"/>
        <v>0</v>
      </c>
    </row>
    <row r="85" spans="6:7" x14ac:dyDescent="0.4">
      <c r="F85">
        <f t="shared" si="3"/>
        <v>0</v>
      </c>
      <c r="G85">
        <f t="shared" si="4"/>
        <v>0</v>
      </c>
    </row>
    <row r="86" spans="6:7" x14ac:dyDescent="0.4">
      <c r="F86">
        <f t="shared" si="3"/>
        <v>0</v>
      </c>
      <c r="G86">
        <f t="shared" si="4"/>
        <v>0</v>
      </c>
    </row>
    <row r="87" spans="6:7" x14ac:dyDescent="0.4">
      <c r="F87">
        <f t="shared" si="3"/>
        <v>0</v>
      </c>
      <c r="G87">
        <f t="shared" si="4"/>
        <v>0</v>
      </c>
    </row>
    <row r="88" spans="6:7" x14ac:dyDescent="0.4">
      <c r="F88">
        <f t="shared" si="3"/>
        <v>0</v>
      </c>
      <c r="G88">
        <f t="shared" si="4"/>
        <v>0</v>
      </c>
    </row>
    <row r="89" spans="6:7" x14ac:dyDescent="0.4">
      <c r="F89">
        <f t="shared" si="3"/>
        <v>0</v>
      </c>
      <c r="G89">
        <f t="shared" si="4"/>
        <v>0</v>
      </c>
    </row>
    <row r="90" spans="6:7" x14ac:dyDescent="0.4">
      <c r="F90">
        <f t="shared" si="3"/>
        <v>0</v>
      </c>
      <c r="G90">
        <f t="shared" si="4"/>
        <v>0</v>
      </c>
    </row>
    <row r="91" spans="6:7" x14ac:dyDescent="0.4">
      <c r="F91">
        <f t="shared" si="3"/>
        <v>0</v>
      </c>
      <c r="G91">
        <f t="shared" si="4"/>
        <v>0</v>
      </c>
    </row>
    <row r="92" spans="6:7" x14ac:dyDescent="0.4">
      <c r="F92">
        <f t="shared" si="3"/>
        <v>0</v>
      </c>
      <c r="G92">
        <f t="shared" si="4"/>
        <v>0</v>
      </c>
    </row>
    <row r="93" spans="6:7" x14ac:dyDescent="0.4">
      <c r="F93">
        <f t="shared" si="3"/>
        <v>0</v>
      </c>
      <c r="G93">
        <f t="shared" si="4"/>
        <v>0</v>
      </c>
    </row>
    <row r="94" spans="6:7" x14ac:dyDescent="0.4">
      <c r="F94">
        <f t="shared" si="3"/>
        <v>0</v>
      </c>
      <c r="G94">
        <f t="shared" si="4"/>
        <v>0</v>
      </c>
    </row>
    <row r="95" spans="6:7" x14ac:dyDescent="0.4">
      <c r="F95">
        <f t="shared" si="3"/>
        <v>0</v>
      </c>
      <c r="G95">
        <f t="shared" si="4"/>
        <v>0</v>
      </c>
    </row>
    <row r="96" spans="6:7" x14ac:dyDescent="0.4">
      <c r="F96">
        <f t="shared" si="3"/>
        <v>0</v>
      </c>
      <c r="G96">
        <f t="shared" si="4"/>
        <v>0</v>
      </c>
    </row>
    <row r="97" spans="6:7" x14ac:dyDescent="0.4">
      <c r="F97">
        <f t="shared" si="3"/>
        <v>0</v>
      </c>
      <c r="G97">
        <f t="shared" si="4"/>
        <v>0</v>
      </c>
    </row>
    <row r="98" spans="6:7" x14ac:dyDescent="0.4">
      <c r="F98">
        <f t="shared" si="3"/>
        <v>0</v>
      </c>
      <c r="G98">
        <f t="shared" si="4"/>
        <v>0</v>
      </c>
    </row>
    <row r="99" spans="6:7" x14ac:dyDescent="0.4">
      <c r="F99">
        <f t="shared" si="3"/>
        <v>0</v>
      </c>
      <c r="G99">
        <f t="shared" si="4"/>
        <v>0</v>
      </c>
    </row>
    <row r="100" spans="6:7" x14ac:dyDescent="0.4">
      <c r="F100">
        <f t="shared" si="3"/>
        <v>0</v>
      </c>
      <c r="G100">
        <f t="shared" si="4"/>
        <v>0</v>
      </c>
    </row>
    <row r="101" spans="6:7" x14ac:dyDescent="0.4">
      <c r="F101">
        <f t="shared" si="3"/>
        <v>0</v>
      </c>
      <c r="G101">
        <f t="shared" si="4"/>
        <v>0</v>
      </c>
    </row>
    <row r="102" spans="6:7" x14ac:dyDescent="0.4">
      <c r="F102">
        <f t="shared" si="3"/>
        <v>0</v>
      </c>
      <c r="G102">
        <f t="shared" si="4"/>
        <v>0</v>
      </c>
    </row>
    <row r="103" spans="6:7" x14ac:dyDescent="0.4">
      <c r="F103">
        <f t="shared" si="3"/>
        <v>0</v>
      </c>
      <c r="G103">
        <f t="shared" si="4"/>
        <v>0</v>
      </c>
    </row>
    <row r="104" spans="6:7" x14ac:dyDescent="0.4">
      <c r="F104">
        <f t="shared" si="3"/>
        <v>0</v>
      </c>
      <c r="G104">
        <f t="shared" si="4"/>
        <v>0</v>
      </c>
    </row>
    <row r="105" spans="6:7" x14ac:dyDescent="0.4">
      <c r="F105">
        <f t="shared" si="3"/>
        <v>0</v>
      </c>
      <c r="G105">
        <f t="shared" si="4"/>
        <v>0</v>
      </c>
    </row>
    <row r="106" spans="6:7" x14ac:dyDescent="0.4">
      <c r="F106">
        <f t="shared" si="3"/>
        <v>0</v>
      </c>
      <c r="G106">
        <f t="shared" si="4"/>
        <v>0</v>
      </c>
    </row>
    <row r="107" spans="6:7" x14ac:dyDescent="0.4">
      <c r="F107">
        <f t="shared" si="3"/>
        <v>0</v>
      </c>
      <c r="G107">
        <f t="shared" si="4"/>
        <v>0</v>
      </c>
    </row>
    <row r="108" spans="6:7" x14ac:dyDescent="0.4">
      <c r="F108">
        <f t="shared" si="3"/>
        <v>0</v>
      </c>
      <c r="G108">
        <f t="shared" si="4"/>
        <v>0</v>
      </c>
    </row>
    <row r="109" spans="6:7" x14ac:dyDescent="0.4">
      <c r="F109">
        <f t="shared" si="3"/>
        <v>0</v>
      </c>
      <c r="G109">
        <f t="shared" si="4"/>
        <v>0</v>
      </c>
    </row>
    <row r="110" spans="6:7" x14ac:dyDescent="0.4">
      <c r="F110">
        <f t="shared" si="3"/>
        <v>0</v>
      </c>
      <c r="G110">
        <f t="shared" si="4"/>
        <v>0</v>
      </c>
    </row>
    <row r="111" spans="6:7" x14ac:dyDescent="0.4">
      <c r="F111">
        <f t="shared" si="3"/>
        <v>0</v>
      </c>
      <c r="G111">
        <f t="shared" si="4"/>
        <v>0</v>
      </c>
    </row>
    <row r="112" spans="6:7" x14ac:dyDescent="0.4">
      <c r="F112">
        <f t="shared" si="3"/>
        <v>0</v>
      </c>
      <c r="G112">
        <f t="shared" si="4"/>
        <v>0</v>
      </c>
    </row>
    <row r="113" spans="6:7" x14ac:dyDescent="0.4">
      <c r="F113">
        <f t="shared" si="3"/>
        <v>0</v>
      </c>
      <c r="G113">
        <f t="shared" si="4"/>
        <v>0</v>
      </c>
    </row>
    <row r="114" spans="6:7" x14ac:dyDescent="0.4">
      <c r="F114">
        <f t="shared" si="3"/>
        <v>0</v>
      </c>
      <c r="G114">
        <f t="shared" si="4"/>
        <v>0</v>
      </c>
    </row>
    <row r="115" spans="6:7" x14ac:dyDescent="0.4">
      <c r="F115">
        <f t="shared" si="3"/>
        <v>0</v>
      </c>
      <c r="G115">
        <f t="shared" si="4"/>
        <v>0</v>
      </c>
    </row>
    <row r="116" spans="6:7" x14ac:dyDescent="0.4">
      <c r="F116">
        <f t="shared" si="3"/>
        <v>0</v>
      </c>
      <c r="G116">
        <f t="shared" si="4"/>
        <v>0</v>
      </c>
    </row>
    <row r="117" spans="6:7" x14ac:dyDescent="0.4">
      <c r="F117">
        <f t="shared" si="3"/>
        <v>0</v>
      </c>
      <c r="G117">
        <f t="shared" si="4"/>
        <v>0</v>
      </c>
    </row>
    <row r="118" spans="6:7" x14ac:dyDescent="0.4">
      <c r="F118">
        <f t="shared" si="3"/>
        <v>0</v>
      </c>
      <c r="G118">
        <f t="shared" si="4"/>
        <v>0</v>
      </c>
    </row>
    <row r="119" spans="6:7" x14ac:dyDescent="0.4">
      <c r="F119">
        <f t="shared" si="3"/>
        <v>0</v>
      </c>
      <c r="G119">
        <f t="shared" si="4"/>
        <v>0</v>
      </c>
    </row>
    <row r="120" spans="6:7" x14ac:dyDescent="0.4">
      <c r="F120">
        <f t="shared" si="3"/>
        <v>0</v>
      </c>
      <c r="G120">
        <f t="shared" si="4"/>
        <v>0</v>
      </c>
    </row>
    <row r="121" spans="6:7" x14ac:dyDescent="0.4">
      <c r="F121">
        <f t="shared" si="3"/>
        <v>0</v>
      </c>
      <c r="G121">
        <f t="shared" si="4"/>
        <v>0</v>
      </c>
    </row>
    <row r="122" spans="6:7" x14ac:dyDescent="0.4">
      <c r="F122">
        <f t="shared" si="3"/>
        <v>0</v>
      </c>
      <c r="G122">
        <f t="shared" si="4"/>
        <v>0</v>
      </c>
    </row>
    <row r="123" spans="6:7" x14ac:dyDescent="0.4">
      <c r="F123">
        <f t="shared" si="3"/>
        <v>0</v>
      </c>
      <c r="G123">
        <f t="shared" si="4"/>
        <v>0</v>
      </c>
    </row>
    <row r="124" spans="6:7" x14ac:dyDescent="0.4">
      <c r="F124">
        <f t="shared" si="3"/>
        <v>0</v>
      </c>
      <c r="G124">
        <f t="shared" si="4"/>
        <v>0</v>
      </c>
    </row>
    <row r="125" spans="6:7" x14ac:dyDescent="0.4">
      <c r="F125">
        <f t="shared" si="3"/>
        <v>0</v>
      </c>
      <c r="G125">
        <f t="shared" si="4"/>
        <v>0</v>
      </c>
    </row>
    <row r="126" spans="6:7" x14ac:dyDescent="0.4">
      <c r="F126">
        <f t="shared" si="3"/>
        <v>0</v>
      </c>
      <c r="G126">
        <f t="shared" si="4"/>
        <v>0</v>
      </c>
    </row>
    <row r="127" spans="6:7" x14ac:dyDescent="0.4">
      <c r="F127">
        <f t="shared" si="3"/>
        <v>0</v>
      </c>
      <c r="G127">
        <f t="shared" si="4"/>
        <v>0</v>
      </c>
    </row>
    <row r="128" spans="6:7" x14ac:dyDescent="0.4">
      <c r="F128">
        <f t="shared" si="3"/>
        <v>0</v>
      </c>
      <c r="G128">
        <f t="shared" si="4"/>
        <v>0</v>
      </c>
    </row>
    <row r="129" spans="6:7" x14ac:dyDescent="0.4">
      <c r="F129">
        <f t="shared" si="3"/>
        <v>0</v>
      </c>
      <c r="G129">
        <f t="shared" si="4"/>
        <v>0</v>
      </c>
    </row>
    <row r="130" spans="6:7" x14ac:dyDescent="0.4">
      <c r="F130">
        <f t="shared" si="3"/>
        <v>0</v>
      </c>
      <c r="G130">
        <f t="shared" si="4"/>
        <v>0</v>
      </c>
    </row>
    <row r="131" spans="6:7" x14ac:dyDescent="0.4">
      <c r="F131">
        <f t="shared" ref="F131:F194" si="5">E131*D131</f>
        <v>0</v>
      </c>
      <c r="G131">
        <f t="shared" ref="G131:G194" si="6">F131-(F131*0.3)</f>
        <v>0</v>
      </c>
    </row>
    <row r="132" spans="6:7" x14ac:dyDescent="0.4">
      <c r="F132">
        <f t="shared" si="5"/>
        <v>0</v>
      </c>
      <c r="G132">
        <f t="shared" si="6"/>
        <v>0</v>
      </c>
    </row>
    <row r="133" spans="6:7" x14ac:dyDescent="0.4">
      <c r="F133">
        <f t="shared" si="5"/>
        <v>0</v>
      </c>
      <c r="G133">
        <f t="shared" si="6"/>
        <v>0</v>
      </c>
    </row>
    <row r="134" spans="6:7" x14ac:dyDescent="0.4">
      <c r="F134">
        <f t="shared" si="5"/>
        <v>0</v>
      </c>
      <c r="G134">
        <f t="shared" si="6"/>
        <v>0</v>
      </c>
    </row>
    <row r="135" spans="6:7" x14ac:dyDescent="0.4">
      <c r="F135">
        <f t="shared" si="5"/>
        <v>0</v>
      </c>
      <c r="G135">
        <f t="shared" si="6"/>
        <v>0</v>
      </c>
    </row>
    <row r="136" spans="6:7" x14ac:dyDescent="0.4">
      <c r="F136">
        <f t="shared" si="5"/>
        <v>0</v>
      </c>
      <c r="G136">
        <f t="shared" si="6"/>
        <v>0</v>
      </c>
    </row>
    <row r="137" spans="6:7" x14ac:dyDescent="0.4">
      <c r="F137">
        <f t="shared" si="5"/>
        <v>0</v>
      </c>
      <c r="G137">
        <f t="shared" si="6"/>
        <v>0</v>
      </c>
    </row>
    <row r="138" spans="6:7" x14ac:dyDescent="0.4">
      <c r="F138">
        <f t="shared" si="5"/>
        <v>0</v>
      </c>
      <c r="G138">
        <f t="shared" si="6"/>
        <v>0</v>
      </c>
    </row>
    <row r="139" spans="6:7" x14ac:dyDescent="0.4">
      <c r="F139">
        <f t="shared" si="5"/>
        <v>0</v>
      </c>
      <c r="G139">
        <f t="shared" si="6"/>
        <v>0</v>
      </c>
    </row>
    <row r="140" spans="6:7" x14ac:dyDescent="0.4">
      <c r="F140">
        <f t="shared" si="5"/>
        <v>0</v>
      </c>
      <c r="G140">
        <f t="shared" si="6"/>
        <v>0</v>
      </c>
    </row>
    <row r="141" spans="6:7" x14ac:dyDescent="0.4">
      <c r="F141">
        <f t="shared" si="5"/>
        <v>0</v>
      </c>
      <c r="G141">
        <f t="shared" si="6"/>
        <v>0</v>
      </c>
    </row>
    <row r="142" spans="6:7" x14ac:dyDescent="0.4">
      <c r="F142">
        <f t="shared" si="5"/>
        <v>0</v>
      </c>
      <c r="G142">
        <f t="shared" si="6"/>
        <v>0</v>
      </c>
    </row>
    <row r="143" spans="6:7" x14ac:dyDescent="0.4">
      <c r="F143">
        <f t="shared" si="5"/>
        <v>0</v>
      </c>
      <c r="G143">
        <f t="shared" si="6"/>
        <v>0</v>
      </c>
    </row>
    <row r="144" spans="6:7" x14ac:dyDescent="0.4">
      <c r="F144">
        <f t="shared" si="5"/>
        <v>0</v>
      </c>
      <c r="G144">
        <f t="shared" si="6"/>
        <v>0</v>
      </c>
    </row>
    <row r="145" spans="6:7" x14ac:dyDescent="0.4">
      <c r="F145">
        <f t="shared" si="5"/>
        <v>0</v>
      </c>
      <c r="G145">
        <f t="shared" si="6"/>
        <v>0</v>
      </c>
    </row>
    <row r="146" spans="6:7" x14ac:dyDescent="0.4">
      <c r="F146">
        <f t="shared" si="5"/>
        <v>0</v>
      </c>
      <c r="G146">
        <f t="shared" si="6"/>
        <v>0</v>
      </c>
    </row>
    <row r="147" spans="6:7" x14ac:dyDescent="0.4">
      <c r="F147">
        <f t="shared" si="5"/>
        <v>0</v>
      </c>
      <c r="G147">
        <f t="shared" si="6"/>
        <v>0</v>
      </c>
    </row>
    <row r="148" spans="6:7" x14ac:dyDescent="0.4">
      <c r="F148">
        <f t="shared" si="5"/>
        <v>0</v>
      </c>
      <c r="G148">
        <f t="shared" si="6"/>
        <v>0</v>
      </c>
    </row>
    <row r="149" spans="6:7" x14ac:dyDescent="0.4">
      <c r="F149">
        <f t="shared" si="5"/>
        <v>0</v>
      </c>
      <c r="G149">
        <f t="shared" si="6"/>
        <v>0</v>
      </c>
    </row>
    <row r="150" spans="6:7" x14ac:dyDescent="0.4">
      <c r="F150">
        <f t="shared" si="5"/>
        <v>0</v>
      </c>
      <c r="G150">
        <f t="shared" si="6"/>
        <v>0</v>
      </c>
    </row>
    <row r="151" spans="6:7" x14ac:dyDescent="0.4">
      <c r="F151">
        <f t="shared" si="5"/>
        <v>0</v>
      </c>
      <c r="G151">
        <f t="shared" si="6"/>
        <v>0</v>
      </c>
    </row>
    <row r="152" spans="6:7" x14ac:dyDescent="0.4">
      <c r="F152">
        <f t="shared" si="5"/>
        <v>0</v>
      </c>
      <c r="G152">
        <f t="shared" si="6"/>
        <v>0</v>
      </c>
    </row>
    <row r="153" spans="6:7" x14ac:dyDescent="0.4">
      <c r="F153">
        <f t="shared" si="5"/>
        <v>0</v>
      </c>
      <c r="G153">
        <f t="shared" si="6"/>
        <v>0</v>
      </c>
    </row>
    <row r="154" spans="6:7" x14ac:dyDescent="0.4">
      <c r="F154">
        <f t="shared" si="5"/>
        <v>0</v>
      </c>
      <c r="G154">
        <f t="shared" si="6"/>
        <v>0</v>
      </c>
    </row>
    <row r="155" spans="6:7" x14ac:dyDescent="0.4">
      <c r="F155">
        <f t="shared" si="5"/>
        <v>0</v>
      </c>
      <c r="G155">
        <f t="shared" si="6"/>
        <v>0</v>
      </c>
    </row>
    <row r="156" spans="6:7" x14ac:dyDescent="0.4">
      <c r="F156">
        <f t="shared" si="5"/>
        <v>0</v>
      </c>
      <c r="G156">
        <f t="shared" si="6"/>
        <v>0</v>
      </c>
    </row>
    <row r="157" spans="6:7" x14ac:dyDescent="0.4">
      <c r="F157">
        <f t="shared" si="5"/>
        <v>0</v>
      </c>
      <c r="G157">
        <f t="shared" si="6"/>
        <v>0</v>
      </c>
    </row>
    <row r="158" spans="6:7" x14ac:dyDescent="0.4">
      <c r="F158">
        <f t="shared" si="5"/>
        <v>0</v>
      </c>
      <c r="G158">
        <f t="shared" si="6"/>
        <v>0</v>
      </c>
    </row>
    <row r="159" spans="6:7" x14ac:dyDescent="0.4">
      <c r="F159">
        <f t="shared" si="5"/>
        <v>0</v>
      </c>
      <c r="G159">
        <f t="shared" si="6"/>
        <v>0</v>
      </c>
    </row>
    <row r="160" spans="6:7" x14ac:dyDescent="0.4">
      <c r="F160">
        <f t="shared" si="5"/>
        <v>0</v>
      </c>
      <c r="G160">
        <f t="shared" si="6"/>
        <v>0</v>
      </c>
    </row>
    <row r="161" spans="6:7" x14ac:dyDescent="0.4">
      <c r="F161">
        <f t="shared" si="5"/>
        <v>0</v>
      </c>
      <c r="G161">
        <f t="shared" si="6"/>
        <v>0</v>
      </c>
    </row>
    <row r="162" spans="6:7" x14ac:dyDescent="0.4">
      <c r="F162">
        <f t="shared" si="5"/>
        <v>0</v>
      </c>
      <c r="G162">
        <f t="shared" si="6"/>
        <v>0</v>
      </c>
    </row>
    <row r="163" spans="6:7" x14ac:dyDescent="0.4">
      <c r="F163">
        <f t="shared" si="5"/>
        <v>0</v>
      </c>
      <c r="G163">
        <f t="shared" si="6"/>
        <v>0</v>
      </c>
    </row>
    <row r="164" spans="6:7" x14ac:dyDescent="0.4">
      <c r="F164">
        <f t="shared" si="5"/>
        <v>0</v>
      </c>
      <c r="G164">
        <f t="shared" si="6"/>
        <v>0</v>
      </c>
    </row>
    <row r="165" spans="6:7" x14ac:dyDescent="0.4">
      <c r="F165">
        <f t="shared" si="5"/>
        <v>0</v>
      </c>
      <c r="G165">
        <f t="shared" si="6"/>
        <v>0</v>
      </c>
    </row>
    <row r="166" spans="6:7" x14ac:dyDescent="0.4">
      <c r="F166">
        <f t="shared" si="5"/>
        <v>0</v>
      </c>
      <c r="G166">
        <f t="shared" si="6"/>
        <v>0</v>
      </c>
    </row>
    <row r="167" spans="6:7" x14ac:dyDescent="0.4">
      <c r="F167">
        <f t="shared" si="5"/>
        <v>0</v>
      </c>
      <c r="G167">
        <f t="shared" si="6"/>
        <v>0</v>
      </c>
    </row>
    <row r="168" spans="6:7" x14ac:dyDescent="0.4">
      <c r="F168">
        <f t="shared" si="5"/>
        <v>0</v>
      </c>
      <c r="G168">
        <f t="shared" si="6"/>
        <v>0</v>
      </c>
    </row>
    <row r="169" spans="6:7" x14ac:dyDescent="0.4">
      <c r="F169">
        <f t="shared" si="5"/>
        <v>0</v>
      </c>
      <c r="G169">
        <f t="shared" si="6"/>
        <v>0</v>
      </c>
    </row>
    <row r="170" spans="6:7" x14ac:dyDescent="0.4">
      <c r="F170">
        <f t="shared" si="5"/>
        <v>0</v>
      </c>
      <c r="G170">
        <f t="shared" si="6"/>
        <v>0</v>
      </c>
    </row>
    <row r="171" spans="6:7" x14ac:dyDescent="0.4">
      <c r="F171">
        <f t="shared" si="5"/>
        <v>0</v>
      </c>
      <c r="G171">
        <f t="shared" si="6"/>
        <v>0</v>
      </c>
    </row>
    <row r="172" spans="6:7" x14ac:dyDescent="0.4">
      <c r="F172">
        <f t="shared" si="5"/>
        <v>0</v>
      </c>
      <c r="G172">
        <f t="shared" si="6"/>
        <v>0</v>
      </c>
    </row>
    <row r="173" spans="6:7" x14ac:dyDescent="0.4">
      <c r="F173">
        <f t="shared" si="5"/>
        <v>0</v>
      </c>
      <c r="G173">
        <f t="shared" si="6"/>
        <v>0</v>
      </c>
    </row>
    <row r="174" spans="6:7" x14ac:dyDescent="0.4">
      <c r="F174">
        <f t="shared" si="5"/>
        <v>0</v>
      </c>
      <c r="G174">
        <f t="shared" si="6"/>
        <v>0</v>
      </c>
    </row>
    <row r="175" spans="6:7" x14ac:dyDescent="0.4">
      <c r="F175">
        <f t="shared" si="5"/>
        <v>0</v>
      </c>
      <c r="G175">
        <f t="shared" si="6"/>
        <v>0</v>
      </c>
    </row>
    <row r="176" spans="6:7" x14ac:dyDescent="0.4">
      <c r="F176">
        <f t="shared" si="5"/>
        <v>0</v>
      </c>
      <c r="G176">
        <f t="shared" si="6"/>
        <v>0</v>
      </c>
    </row>
    <row r="177" spans="6:7" x14ac:dyDescent="0.4">
      <c r="F177">
        <f t="shared" si="5"/>
        <v>0</v>
      </c>
      <c r="G177">
        <f t="shared" si="6"/>
        <v>0</v>
      </c>
    </row>
    <row r="178" spans="6:7" x14ac:dyDescent="0.4">
      <c r="F178">
        <f t="shared" si="5"/>
        <v>0</v>
      </c>
      <c r="G178">
        <f t="shared" si="6"/>
        <v>0</v>
      </c>
    </row>
    <row r="179" spans="6:7" x14ac:dyDescent="0.4">
      <c r="F179">
        <f t="shared" si="5"/>
        <v>0</v>
      </c>
      <c r="G179">
        <f t="shared" si="6"/>
        <v>0</v>
      </c>
    </row>
    <row r="180" spans="6:7" x14ac:dyDescent="0.4">
      <c r="F180">
        <f t="shared" si="5"/>
        <v>0</v>
      </c>
      <c r="G180">
        <f t="shared" si="6"/>
        <v>0</v>
      </c>
    </row>
    <row r="181" spans="6:7" x14ac:dyDescent="0.4">
      <c r="F181">
        <f t="shared" si="5"/>
        <v>0</v>
      </c>
      <c r="G181">
        <f t="shared" si="6"/>
        <v>0</v>
      </c>
    </row>
    <row r="182" spans="6:7" x14ac:dyDescent="0.4">
      <c r="F182">
        <f t="shared" si="5"/>
        <v>0</v>
      </c>
      <c r="G182">
        <f t="shared" si="6"/>
        <v>0</v>
      </c>
    </row>
    <row r="183" spans="6:7" x14ac:dyDescent="0.4">
      <c r="F183">
        <f t="shared" si="5"/>
        <v>0</v>
      </c>
      <c r="G183">
        <f t="shared" si="6"/>
        <v>0</v>
      </c>
    </row>
    <row r="184" spans="6:7" x14ac:dyDescent="0.4">
      <c r="F184">
        <f t="shared" si="5"/>
        <v>0</v>
      </c>
      <c r="G184">
        <f t="shared" si="6"/>
        <v>0</v>
      </c>
    </row>
    <row r="185" spans="6:7" x14ac:dyDescent="0.4">
      <c r="F185">
        <f t="shared" si="5"/>
        <v>0</v>
      </c>
      <c r="G185">
        <f t="shared" si="6"/>
        <v>0</v>
      </c>
    </row>
    <row r="186" spans="6:7" x14ac:dyDescent="0.4">
      <c r="F186">
        <f t="shared" si="5"/>
        <v>0</v>
      </c>
      <c r="G186">
        <f t="shared" si="6"/>
        <v>0</v>
      </c>
    </row>
    <row r="187" spans="6:7" x14ac:dyDescent="0.4">
      <c r="F187">
        <f t="shared" si="5"/>
        <v>0</v>
      </c>
      <c r="G187">
        <f t="shared" si="6"/>
        <v>0</v>
      </c>
    </row>
    <row r="188" spans="6:7" x14ac:dyDescent="0.4">
      <c r="F188">
        <f t="shared" si="5"/>
        <v>0</v>
      </c>
      <c r="G188">
        <f t="shared" si="6"/>
        <v>0</v>
      </c>
    </row>
    <row r="189" spans="6:7" x14ac:dyDescent="0.4">
      <c r="F189">
        <f t="shared" si="5"/>
        <v>0</v>
      </c>
      <c r="G189">
        <f t="shared" si="6"/>
        <v>0</v>
      </c>
    </row>
    <row r="190" spans="6:7" x14ac:dyDescent="0.4">
      <c r="F190">
        <f t="shared" si="5"/>
        <v>0</v>
      </c>
      <c r="G190">
        <f t="shared" si="6"/>
        <v>0</v>
      </c>
    </row>
    <row r="191" spans="6:7" x14ac:dyDescent="0.4">
      <c r="F191">
        <f t="shared" si="5"/>
        <v>0</v>
      </c>
      <c r="G191">
        <f t="shared" si="6"/>
        <v>0</v>
      </c>
    </row>
    <row r="192" spans="6:7" x14ac:dyDescent="0.4">
      <c r="F192">
        <f t="shared" si="5"/>
        <v>0</v>
      </c>
      <c r="G192">
        <f t="shared" si="6"/>
        <v>0</v>
      </c>
    </row>
    <row r="193" spans="6:7" x14ac:dyDescent="0.4">
      <c r="F193">
        <f t="shared" si="5"/>
        <v>0</v>
      </c>
      <c r="G193">
        <f t="shared" si="6"/>
        <v>0</v>
      </c>
    </row>
    <row r="194" spans="6:7" x14ac:dyDescent="0.4">
      <c r="F194">
        <f t="shared" si="5"/>
        <v>0</v>
      </c>
      <c r="G194">
        <f t="shared" si="6"/>
        <v>0</v>
      </c>
    </row>
    <row r="195" spans="6:7" x14ac:dyDescent="0.4">
      <c r="F195">
        <f t="shared" ref="F195:F258" si="7">E195*D195</f>
        <v>0</v>
      </c>
      <c r="G195">
        <f t="shared" ref="G195:G258" si="8">F195-(F195*0.3)</f>
        <v>0</v>
      </c>
    </row>
    <row r="196" spans="6:7" x14ac:dyDescent="0.4">
      <c r="F196">
        <f t="shared" si="7"/>
        <v>0</v>
      </c>
      <c r="G196">
        <f t="shared" si="8"/>
        <v>0</v>
      </c>
    </row>
    <row r="197" spans="6:7" x14ac:dyDescent="0.4">
      <c r="F197">
        <f t="shared" si="7"/>
        <v>0</v>
      </c>
      <c r="G197">
        <f t="shared" si="8"/>
        <v>0</v>
      </c>
    </row>
    <row r="198" spans="6:7" x14ac:dyDescent="0.4">
      <c r="F198">
        <f t="shared" si="7"/>
        <v>0</v>
      </c>
      <c r="G198">
        <f t="shared" si="8"/>
        <v>0</v>
      </c>
    </row>
    <row r="199" spans="6:7" x14ac:dyDescent="0.4">
      <c r="F199">
        <f t="shared" si="7"/>
        <v>0</v>
      </c>
      <c r="G199">
        <f t="shared" si="8"/>
        <v>0</v>
      </c>
    </row>
    <row r="200" spans="6:7" x14ac:dyDescent="0.4">
      <c r="F200">
        <f t="shared" si="7"/>
        <v>0</v>
      </c>
      <c r="G200">
        <f t="shared" si="8"/>
        <v>0</v>
      </c>
    </row>
    <row r="201" spans="6:7" x14ac:dyDescent="0.4">
      <c r="F201">
        <f t="shared" si="7"/>
        <v>0</v>
      </c>
      <c r="G201">
        <f t="shared" si="8"/>
        <v>0</v>
      </c>
    </row>
    <row r="202" spans="6:7" x14ac:dyDescent="0.4">
      <c r="F202">
        <f t="shared" si="7"/>
        <v>0</v>
      </c>
      <c r="G202">
        <f t="shared" si="8"/>
        <v>0</v>
      </c>
    </row>
    <row r="203" spans="6:7" x14ac:dyDescent="0.4">
      <c r="F203">
        <f t="shared" si="7"/>
        <v>0</v>
      </c>
      <c r="G203">
        <f t="shared" si="8"/>
        <v>0</v>
      </c>
    </row>
    <row r="204" spans="6:7" x14ac:dyDescent="0.4">
      <c r="F204">
        <f t="shared" si="7"/>
        <v>0</v>
      </c>
      <c r="G204">
        <f t="shared" si="8"/>
        <v>0</v>
      </c>
    </row>
    <row r="205" spans="6:7" x14ac:dyDescent="0.4">
      <c r="F205">
        <f t="shared" si="7"/>
        <v>0</v>
      </c>
      <c r="G205">
        <f t="shared" si="8"/>
        <v>0</v>
      </c>
    </row>
    <row r="206" spans="6:7" x14ac:dyDescent="0.4">
      <c r="F206">
        <f t="shared" si="7"/>
        <v>0</v>
      </c>
      <c r="G206">
        <f t="shared" si="8"/>
        <v>0</v>
      </c>
    </row>
    <row r="207" spans="6:7" x14ac:dyDescent="0.4">
      <c r="F207">
        <f t="shared" si="7"/>
        <v>0</v>
      </c>
      <c r="G207">
        <f t="shared" si="8"/>
        <v>0</v>
      </c>
    </row>
    <row r="208" spans="6:7" x14ac:dyDescent="0.4">
      <c r="F208">
        <f t="shared" si="7"/>
        <v>0</v>
      </c>
      <c r="G208">
        <f t="shared" si="8"/>
        <v>0</v>
      </c>
    </row>
    <row r="209" spans="6:7" x14ac:dyDescent="0.4">
      <c r="F209">
        <f t="shared" si="7"/>
        <v>0</v>
      </c>
      <c r="G209">
        <f t="shared" si="8"/>
        <v>0</v>
      </c>
    </row>
    <row r="210" spans="6:7" x14ac:dyDescent="0.4">
      <c r="F210">
        <f t="shared" si="7"/>
        <v>0</v>
      </c>
      <c r="G210">
        <f t="shared" si="8"/>
        <v>0</v>
      </c>
    </row>
    <row r="211" spans="6:7" x14ac:dyDescent="0.4">
      <c r="F211">
        <f t="shared" si="7"/>
        <v>0</v>
      </c>
      <c r="G211">
        <f t="shared" si="8"/>
        <v>0</v>
      </c>
    </row>
    <row r="212" spans="6:7" x14ac:dyDescent="0.4">
      <c r="F212">
        <f t="shared" si="7"/>
        <v>0</v>
      </c>
      <c r="G212">
        <f t="shared" si="8"/>
        <v>0</v>
      </c>
    </row>
    <row r="213" spans="6:7" x14ac:dyDescent="0.4">
      <c r="F213">
        <f t="shared" si="7"/>
        <v>0</v>
      </c>
      <c r="G213">
        <f t="shared" si="8"/>
        <v>0</v>
      </c>
    </row>
    <row r="214" spans="6:7" x14ac:dyDescent="0.4">
      <c r="F214">
        <f t="shared" si="7"/>
        <v>0</v>
      </c>
      <c r="G214">
        <f t="shared" si="8"/>
        <v>0</v>
      </c>
    </row>
    <row r="215" spans="6:7" x14ac:dyDescent="0.4">
      <c r="F215">
        <f t="shared" si="7"/>
        <v>0</v>
      </c>
      <c r="G215">
        <f t="shared" si="8"/>
        <v>0</v>
      </c>
    </row>
    <row r="216" spans="6:7" x14ac:dyDescent="0.4">
      <c r="F216">
        <f t="shared" si="7"/>
        <v>0</v>
      </c>
      <c r="G216">
        <f t="shared" si="8"/>
        <v>0</v>
      </c>
    </row>
    <row r="217" spans="6:7" x14ac:dyDescent="0.4">
      <c r="F217">
        <f t="shared" si="7"/>
        <v>0</v>
      </c>
      <c r="G217">
        <f t="shared" si="8"/>
        <v>0</v>
      </c>
    </row>
    <row r="218" spans="6:7" x14ac:dyDescent="0.4">
      <c r="F218">
        <f t="shared" si="7"/>
        <v>0</v>
      </c>
      <c r="G218">
        <f t="shared" si="8"/>
        <v>0</v>
      </c>
    </row>
    <row r="219" spans="6:7" x14ac:dyDescent="0.4">
      <c r="F219">
        <f t="shared" si="7"/>
        <v>0</v>
      </c>
      <c r="G219">
        <f t="shared" si="8"/>
        <v>0</v>
      </c>
    </row>
    <row r="220" spans="6:7" x14ac:dyDescent="0.4">
      <c r="F220">
        <f t="shared" si="7"/>
        <v>0</v>
      </c>
      <c r="G220">
        <f t="shared" si="8"/>
        <v>0</v>
      </c>
    </row>
    <row r="221" spans="6:7" x14ac:dyDescent="0.4">
      <c r="F221">
        <f t="shared" si="7"/>
        <v>0</v>
      </c>
      <c r="G221">
        <f t="shared" si="8"/>
        <v>0</v>
      </c>
    </row>
    <row r="222" spans="6:7" x14ac:dyDescent="0.4">
      <c r="F222">
        <f t="shared" si="7"/>
        <v>0</v>
      </c>
      <c r="G222">
        <f t="shared" si="8"/>
        <v>0</v>
      </c>
    </row>
    <row r="223" spans="6:7" x14ac:dyDescent="0.4">
      <c r="F223">
        <f t="shared" si="7"/>
        <v>0</v>
      </c>
      <c r="G223">
        <f t="shared" si="8"/>
        <v>0</v>
      </c>
    </row>
    <row r="224" spans="6:7" x14ac:dyDescent="0.4">
      <c r="F224">
        <f t="shared" si="7"/>
        <v>0</v>
      </c>
      <c r="G224">
        <f t="shared" si="8"/>
        <v>0</v>
      </c>
    </row>
    <row r="225" spans="6:7" x14ac:dyDescent="0.4">
      <c r="F225">
        <f t="shared" si="7"/>
        <v>0</v>
      </c>
      <c r="G225">
        <f t="shared" si="8"/>
        <v>0</v>
      </c>
    </row>
    <row r="226" spans="6:7" x14ac:dyDescent="0.4">
      <c r="F226">
        <f t="shared" si="7"/>
        <v>0</v>
      </c>
      <c r="G226">
        <f t="shared" si="8"/>
        <v>0</v>
      </c>
    </row>
    <row r="227" spans="6:7" x14ac:dyDescent="0.4">
      <c r="F227">
        <f t="shared" si="7"/>
        <v>0</v>
      </c>
      <c r="G227">
        <f t="shared" si="8"/>
        <v>0</v>
      </c>
    </row>
    <row r="228" spans="6:7" x14ac:dyDescent="0.4">
      <c r="F228">
        <f t="shared" si="7"/>
        <v>0</v>
      </c>
      <c r="G228">
        <f t="shared" si="8"/>
        <v>0</v>
      </c>
    </row>
    <row r="229" spans="6:7" x14ac:dyDescent="0.4">
      <c r="F229">
        <f t="shared" si="7"/>
        <v>0</v>
      </c>
      <c r="G229">
        <f t="shared" si="8"/>
        <v>0</v>
      </c>
    </row>
    <row r="230" spans="6:7" x14ac:dyDescent="0.4">
      <c r="F230">
        <f t="shared" si="7"/>
        <v>0</v>
      </c>
      <c r="G230">
        <f t="shared" si="8"/>
        <v>0</v>
      </c>
    </row>
    <row r="231" spans="6:7" x14ac:dyDescent="0.4">
      <c r="F231">
        <f t="shared" si="7"/>
        <v>0</v>
      </c>
      <c r="G231">
        <f t="shared" si="8"/>
        <v>0</v>
      </c>
    </row>
    <row r="232" spans="6:7" x14ac:dyDescent="0.4">
      <c r="F232">
        <f t="shared" si="7"/>
        <v>0</v>
      </c>
      <c r="G232">
        <f t="shared" si="8"/>
        <v>0</v>
      </c>
    </row>
    <row r="233" spans="6:7" x14ac:dyDescent="0.4">
      <c r="F233">
        <f t="shared" si="7"/>
        <v>0</v>
      </c>
      <c r="G233">
        <f t="shared" si="8"/>
        <v>0</v>
      </c>
    </row>
    <row r="234" spans="6:7" x14ac:dyDescent="0.4">
      <c r="F234">
        <f t="shared" si="7"/>
        <v>0</v>
      </c>
      <c r="G234">
        <f t="shared" si="8"/>
        <v>0</v>
      </c>
    </row>
    <row r="235" spans="6:7" x14ac:dyDescent="0.4">
      <c r="F235">
        <f t="shared" si="7"/>
        <v>0</v>
      </c>
      <c r="G235">
        <f t="shared" si="8"/>
        <v>0</v>
      </c>
    </row>
    <row r="236" spans="6:7" x14ac:dyDescent="0.4">
      <c r="F236">
        <f t="shared" si="7"/>
        <v>0</v>
      </c>
      <c r="G236">
        <f t="shared" si="8"/>
        <v>0</v>
      </c>
    </row>
    <row r="237" spans="6:7" x14ac:dyDescent="0.4">
      <c r="F237">
        <f t="shared" si="7"/>
        <v>0</v>
      </c>
      <c r="G237">
        <f t="shared" si="8"/>
        <v>0</v>
      </c>
    </row>
    <row r="238" spans="6:7" x14ac:dyDescent="0.4">
      <c r="F238">
        <f t="shared" si="7"/>
        <v>0</v>
      </c>
      <c r="G238">
        <f t="shared" si="8"/>
        <v>0</v>
      </c>
    </row>
    <row r="239" spans="6:7" x14ac:dyDescent="0.4">
      <c r="F239">
        <f t="shared" si="7"/>
        <v>0</v>
      </c>
      <c r="G239">
        <f t="shared" si="8"/>
        <v>0</v>
      </c>
    </row>
    <row r="240" spans="6:7" x14ac:dyDescent="0.4">
      <c r="F240">
        <f t="shared" si="7"/>
        <v>0</v>
      </c>
      <c r="G240">
        <f t="shared" si="8"/>
        <v>0</v>
      </c>
    </row>
    <row r="241" spans="6:7" x14ac:dyDescent="0.4">
      <c r="F241">
        <f t="shared" si="7"/>
        <v>0</v>
      </c>
      <c r="G241">
        <f t="shared" si="8"/>
        <v>0</v>
      </c>
    </row>
    <row r="242" spans="6:7" x14ac:dyDescent="0.4">
      <c r="F242">
        <f t="shared" si="7"/>
        <v>0</v>
      </c>
      <c r="G242">
        <f t="shared" si="8"/>
        <v>0</v>
      </c>
    </row>
    <row r="243" spans="6:7" x14ac:dyDescent="0.4">
      <c r="F243">
        <f t="shared" si="7"/>
        <v>0</v>
      </c>
      <c r="G243">
        <f t="shared" si="8"/>
        <v>0</v>
      </c>
    </row>
    <row r="244" spans="6:7" x14ac:dyDescent="0.4">
      <c r="F244">
        <f t="shared" si="7"/>
        <v>0</v>
      </c>
      <c r="G244">
        <f t="shared" si="8"/>
        <v>0</v>
      </c>
    </row>
    <row r="245" spans="6:7" x14ac:dyDescent="0.4">
      <c r="F245">
        <f t="shared" si="7"/>
        <v>0</v>
      </c>
      <c r="G245">
        <f t="shared" si="8"/>
        <v>0</v>
      </c>
    </row>
    <row r="246" spans="6:7" x14ac:dyDescent="0.4">
      <c r="F246">
        <f t="shared" si="7"/>
        <v>0</v>
      </c>
      <c r="G246">
        <f t="shared" si="8"/>
        <v>0</v>
      </c>
    </row>
    <row r="247" spans="6:7" x14ac:dyDescent="0.4">
      <c r="F247">
        <f t="shared" si="7"/>
        <v>0</v>
      </c>
      <c r="G247">
        <f t="shared" si="8"/>
        <v>0</v>
      </c>
    </row>
    <row r="248" spans="6:7" x14ac:dyDescent="0.4">
      <c r="F248">
        <f t="shared" si="7"/>
        <v>0</v>
      </c>
      <c r="G248">
        <f t="shared" si="8"/>
        <v>0</v>
      </c>
    </row>
    <row r="249" spans="6:7" x14ac:dyDescent="0.4">
      <c r="F249">
        <f t="shared" si="7"/>
        <v>0</v>
      </c>
      <c r="G249">
        <f t="shared" si="8"/>
        <v>0</v>
      </c>
    </row>
    <row r="250" spans="6:7" x14ac:dyDescent="0.4">
      <c r="F250">
        <f t="shared" si="7"/>
        <v>0</v>
      </c>
      <c r="G250">
        <f t="shared" si="8"/>
        <v>0</v>
      </c>
    </row>
    <row r="251" spans="6:7" x14ac:dyDescent="0.4">
      <c r="F251">
        <f t="shared" si="7"/>
        <v>0</v>
      </c>
      <c r="G251">
        <f t="shared" si="8"/>
        <v>0</v>
      </c>
    </row>
    <row r="252" spans="6:7" x14ac:dyDescent="0.4">
      <c r="F252">
        <f t="shared" si="7"/>
        <v>0</v>
      </c>
      <c r="G252">
        <f t="shared" si="8"/>
        <v>0</v>
      </c>
    </row>
    <row r="253" spans="6:7" x14ac:dyDescent="0.4">
      <c r="F253">
        <f t="shared" si="7"/>
        <v>0</v>
      </c>
      <c r="G253">
        <f t="shared" si="8"/>
        <v>0</v>
      </c>
    </row>
    <row r="254" spans="6:7" x14ac:dyDescent="0.4">
      <c r="F254">
        <f t="shared" si="7"/>
        <v>0</v>
      </c>
      <c r="G254">
        <f t="shared" si="8"/>
        <v>0</v>
      </c>
    </row>
    <row r="255" spans="6:7" x14ac:dyDescent="0.4">
      <c r="F255">
        <f t="shared" si="7"/>
        <v>0</v>
      </c>
      <c r="G255">
        <f t="shared" si="8"/>
        <v>0</v>
      </c>
    </row>
    <row r="256" spans="6:7" x14ac:dyDescent="0.4">
      <c r="F256">
        <f t="shared" si="7"/>
        <v>0</v>
      </c>
      <c r="G256">
        <f t="shared" si="8"/>
        <v>0</v>
      </c>
    </row>
    <row r="257" spans="6:7" x14ac:dyDescent="0.4">
      <c r="F257">
        <f t="shared" si="7"/>
        <v>0</v>
      </c>
      <c r="G257">
        <f t="shared" si="8"/>
        <v>0</v>
      </c>
    </row>
    <row r="258" spans="6:7" x14ac:dyDescent="0.4">
      <c r="F258">
        <f t="shared" si="7"/>
        <v>0</v>
      </c>
      <c r="G258">
        <f t="shared" si="8"/>
        <v>0</v>
      </c>
    </row>
    <row r="259" spans="6:7" x14ac:dyDescent="0.4">
      <c r="F259">
        <f t="shared" ref="F259:F322" si="9">E259*D259</f>
        <v>0</v>
      </c>
      <c r="G259">
        <f t="shared" ref="G259:G322" si="10">F259-(F259*0.3)</f>
        <v>0</v>
      </c>
    </row>
    <row r="260" spans="6:7" x14ac:dyDescent="0.4">
      <c r="F260">
        <f t="shared" si="9"/>
        <v>0</v>
      </c>
      <c r="G260">
        <f t="shared" si="10"/>
        <v>0</v>
      </c>
    </row>
    <row r="261" spans="6:7" x14ac:dyDescent="0.4">
      <c r="F261">
        <f t="shared" si="9"/>
        <v>0</v>
      </c>
      <c r="G261">
        <f t="shared" si="10"/>
        <v>0</v>
      </c>
    </row>
    <row r="262" spans="6:7" x14ac:dyDescent="0.4">
      <c r="F262">
        <f t="shared" si="9"/>
        <v>0</v>
      </c>
      <c r="G262">
        <f t="shared" si="10"/>
        <v>0</v>
      </c>
    </row>
    <row r="263" spans="6:7" x14ac:dyDescent="0.4">
      <c r="F263">
        <f t="shared" si="9"/>
        <v>0</v>
      </c>
      <c r="G263">
        <f t="shared" si="10"/>
        <v>0</v>
      </c>
    </row>
    <row r="264" spans="6:7" x14ac:dyDescent="0.4">
      <c r="F264">
        <f t="shared" si="9"/>
        <v>0</v>
      </c>
      <c r="G264">
        <f t="shared" si="10"/>
        <v>0</v>
      </c>
    </row>
    <row r="265" spans="6:7" x14ac:dyDescent="0.4">
      <c r="F265">
        <f t="shared" si="9"/>
        <v>0</v>
      </c>
      <c r="G265">
        <f t="shared" si="10"/>
        <v>0</v>
      </c>
    </row>
    <row r="266" spans="6:7" x14ac:dyDescent="0.4">
      <c r="F266">
        <f t="shared" si="9"/>
        <v>0</v>
      </c>
      <c r="G266">
        <f t="shared" si="10"/>
        <v>0</v>
      </c>
    </row>
    <row r="267" spans="6:7" x14ac:dyDescent="0.4">
      <c r="F267">
        <f t="shared" si="9"/>
        <v>0</v>
      </c>
      <c r="G267">
        <f t="shared" si="10"/>
        <v>0</v>
      </c>
    </row>
    <row r="268" spans="6:7" x14ac:dyDescent="0.4">
      <c r="F268">
        <f t="shared" si="9"/>
        <v>0</v>
      </c>
      <c r="G268">
        <f t="shared" si="10"/>
        <v>0</v>
      </c>
    </row>
    <row r="269" spans="6:7" x14ac:dyDescent="0.4">
      <c r="F269">
        <f t="shared" si="9"/>
        <v>0</v>
      </c>
      <c r="G269">
        <f t="shared" si="10"/>
        <v>0</v>
      </c>
    </row>
    <row r="270" spans="6:7" x14ac:dyDescent="0.4">
      <c r="F270">
        <f t="shared" si="9"/>
        <v>0</v>
      </c>
      <c r="G270">
        <f t="shared" si="10"/>
        <v>0</v>
      </c>
    </row>
    <row r="271" spans="6:7" x14ac:dyDescent="0.4">
      <c r="F271">
        <f t="shared" si="9"/>
        <v>0</v>
      </c>
      <c r="G271">
        <f t="shared" si="10"/>
        <v>0</v>
      </c>
    </row>
    <row r="272" spans="6:7" x14ac:dyDescent="0.4">
      <c r="F272">
        <f t="shared" si="9"/>
        <v>0</v>
      </c>
      <c r="G272">
        <f t="shared" si="10"/>
        <v>0</v>
      </c>
    </row>
    <row r="273" spans="6:7" x14ac:dyDescent="0.4">
      <c r="F273">
        <f t="shared" si="9"/>
        <v>0</v>
      </c>
      <c r="G273">
        <f t="shared" si="10"/>
        <v>0</v>
      </c>
    </row>
    <row r="274" spans="6:7" x14ac:dyDescent="0.4">
      <c r="F274">
        <f t="shared" si="9"/>
        <v>0</v>
      </c>
      <c r="G274">
        <f t="shared" si="10"/>
        <v>0</v>
      </c>
    </row>
    <row r="275" spans="6:7" x14ac:dyDescent="0.4">
      <c r="F275">
        <f t="shared" si="9"/>
        <v>0</v>
      </c>
      <c r="G275">
        <f t="shared" si="10"/>
        <v>0</v>
      </c>
    </row>
    <row r="276" spans="6:7" x14ac:dyDescent="0.4">
      <c r="F276">
        <f t="shared" si="9"/>
        <v>0</v>
      </c>
      <c r="G276">
        <f t="shared" si="10"/>
        <v>0</v>
      </c>
    </row>
    <row r="277" spans="6:7" x14ac:dyDescent="0.4">
      <c r="F277">
        <f t="shared" si="9"/>
        <v>0</v>
      </c>
      <c r="G277">
        <f t="shared" si="10"/>
        <v>0</v>
      </c>
    </row>
    <row r="278" spans="6:7" x14ac:dyDescent="0.4">
      <c r="F278">
        <f t="shared" si="9"/>
        <v>0</v>
      </c>
      <c r="G278">
        <f t="shared" si="10"/>
        <v>0</v>
      </c>
    </row>
    <row r="279" spans="6:7" x14ac:dyDescent="0.4">
      <c r="F279">
        <f t="shared" si="9"/>
        <v>0</v>
      </c>
      <c r="G279">
        <f t="shared" si="10"/>
        <v>0</v>
      </c>
    </row>
    <row r="280" spans="6:7" x14ac:dyDescent="0.4">
      <c r="F280">
        <f t="shared" si="9"/>
        <v>0</v>
      </c>
      <c r="G280">
        <f t="shared" si="10"/>
        <v>0</v>
      </c>
    </row>
    <row r="281" spans="6:7" x14ac:dyDescent="0.4">
      <c r="F281">
        <f t="shared" si="9"/>
        <v>0</v>
      </c>
      <c r="G281">
        <f t="shared" si="10"/>
        <v>0</v>
      </c>
    </row>
    <row r="282" spans="6:7" x14ac:dyDescent="0.4">
      <c r="F282">
        <f t="shared" si="9"/>
        <v>0</v>
      </c>
      <c r="G282">
        <f t="shared" si="10"/>
        <v>0</v>
      </c>
    </row>
    <row r="283" spans="6:7" x14ac:dyDescent="0.4">
      <c r="F283">
        <f t="shared" si="9"/>
        <v>0</v>
      </c>
      <c r="G283">
        <f t="shared" si="10"/>
        <v>0</v>
      </c>
    </row>
    <row r="284" spans="6:7" x14ac:dyDescent="0.4">
      <c r="F284">
        <f t="shared" si="9"/>
        <v>0</v>
      </c>
      <c r="G284">
        <f t="shared" si="10"/>
        <v>0</v>
      </c>
    </row>
    <row r="285" spans="6:7" x14ac:dyDescent="0.4">
      <c r="F285">
        <f t="shared" si="9"/>
        <v>0</v>
      </c>
      <c r="G285">
        <f t="shared" si="10"/>
        <v>0</v>
      </c>
    </row>
    <row r="286" spans="6:7" x14ac:dyDescent="0.4">
      <c r="F286">
        <f t="shared" si="9"/>
        <v>0</v>
      </c>
      <c r="G286">
        <f t="shared" si="10"/>
        <v>0</v>
      </c>
    </row>
    <row r="287" spans="6:7" x14ac:dyDescent="0.4">
      <c r="F287">
        <f t="shared" si="9"/>
        <v>0</v>
      </c>
      <c r="G287">
        <f t="shared" si="10"/>
        <v>0</v>
      </c>
    </row>
    <row r="288" spans="6:7" x14ac:dyDescent="0.4">
      <c r="F288">
        <f t="shared" si="9"/>
        <v>0</v>
      </c>
      <c r="G288">
        <f t="shared" si="10"/>
        <v>0</v>
      </c>
    </row>
    <row r="289" spans="6:7" x14ac:dyDescent="0.4">
      <c r="F289">
        <f t="shared" si="9"/>
        <v>0</v>
      </c>
      <c r="G289">
        <f t="shared" si="10"/>
        <v>0</v>
      </c>
    </row>
    <row r="290" spans="6:7" x14ac:dyDescent="0.4">
      <c r="F290">
        <f t="shared" si="9"/>
        <v>0</v>
      </c>
      <c r="G290">
        <f t="shared" si="10"/>
        <v>0</v>
      </c>
    </row>
    <row r="291" spans="6:7" x14ac:dyDescent="0.4">
      <c r="F291">
        <f t="shared" si="9"/>
        <v>0</v>
      </c>
      <c r="G291">
        <f t="shared" si="10"/>
        <v>0</v>
      </c>
    </row>
    <row r="292" spans="6:7" x14ac:dyDescent="0.4">
      <c r="F292">
        <f t="shared" si="9"/>
        <v>0</v>
      </c>
      <c r="G292">
        <f t="shared" si="10"/>
        <v>0</v>
      </c>
    </row>
    <row r="293" spans="6:7" x14ac:dyDescent="0.4">
      <c r="F293">
        <f t="shared" si="9"/>
        <v>0</v>
      </c>
      <c r="G293">
        <f t="shared" si="10"/>
        <v>0</v>
      </c>
    </row>
    <row r="294" spans="6:7" x14ac:dyDescent="0.4">
      <c r="F294">
        <f t="shared" si="9"/>
        <v>0</v>
      </c>
      <c r="G294">
        <f t="shared" si="10"/>
        <v>0</v>
      </c>
    </row>
    <row r="295" spans="6:7" x14ac:dyDescent="0.4">
      <c r="F295">
        <f t="shared" si="9"/>
        <v>0</v>
      </c>
      <c r="G295">
        <f t="shared" si="10"/>
        <v>0</v>
      </c>
    </row>
    <row r="296" spans="6:7" x14ac:dyDescent="0.4">
      <c r="F296">
        <f t="shared" si="9"/>
        <v>0</v>
      </c>
      <c r="G296">
        <f t="shared" si="10"/>
        <v>0</v>
      </c>
    </row>
    <row r="297" spans="6:7" x14ac:dyDescent="0.4">
      <c r="F297">
        <f t="shared" si="9"/>
        <v>0</v>
      </c>
      <c r="G297">
        <f t="shared" si="10"/>
        <v>0</v>
      </c>
    </row>
    <row r="298" spans="6:7" x14ac:dyDescent="0.4">
      <c r="F298">
        <f t="shared" si="9"/>
        <v>0</v>
      </c>
      <c r="G298">
        <f t="shared" si="10"/>
        <v>0</v>
      </c>
    </row>
    <row r="299" spans="6:7" x14ac:dyDescent="0.4">
      <c r="F299">
        <f t="shared" si="9"/>
        <v>0</v>
      </c>
      <c r="G299">
        <f t="shared" si="10"/>
        <v>0</v>
      </c>
    </row>
    <row r="300" spans="6:7" x14ac:dyDescent="0.4">
      <c r="F300">
        <f t="shared" si="9"/>
        <v>0</v>
      </c>
      <c r="G300">
        <f t="shared" si="10"/>
        <v>0</v>
      </c>
    </row>
    <row r="301" spans="6:7" x14ac:dyDescent="0.4">
      <c r="F301">
        <f t="shared" si="9"/>
        <v>0</v>
      </c>
      <c r="G301">
        <f t="shared" si="10"/>
        <v>0</v>
      </c>
    </row>
    <row r="302" spans="6:7" x14ac:dyDescent="0.4">
      <c r="F302">
        <f t="shared" si="9"/>
        <v>0</v>
      </c>
      <c r="G302">
        <f t="shared" si="10"/>
        <v>0</v>
      </c>
    </row>
    <row r="303" spans="6:7" x14ac:dyDescent="0.4">
      <c r="F303">
        <f t="shared" si="9"/>
        <v>0</v>
      </c>
      <c r="G303">
        <f t="shared" si="10"/>
        <v>0</v>
      </c>
    </row>
    <row r="304" spans="6:7" x14ac:dyDescent="0.4">
      <c r="F304">
        <f t="shared" si="9"/>
        <v>0</v>
      </c>
      <c r="G304">
        <f t="shared" si="10"/>
        <v>0</v>
      </c>
    </row>
    <row r="305" spans="6:7" x14ac:dyDescent="0.4">
      <c r="F305">
        <f t="shared" si="9"/>
        <v>0</v>
      </c>
      <c r="G305">
        <f t="shared" si="10"/>
        <v>0</v>
      </c>
    </row>
    <row r="306" spans="6:7" x14ac:dyDescent="0.4">
      <c r="F306">
        <f t="shared" si="9"/>
        <v>0</v>
      </c>
      <c r="G306">
        <f t="shared" si="10"/>
        <v>0</v>
      </c>
    </row>
    <row r="307" spans="6:7" x14ac:dyDescent="0.4">
      <c r="F307">
        <f t="shared" si="9"/>
        <v>0</v>
      </c>
      <c r="G307">
        <f t="shared" si="10"/>
        <v>0</v>
      </c>
    </row>
    <row r="308" spans="6:7" x14ac:dyDescent="0.4">
      <c r="F308">
        <f t="shared" si="9"/>
        <v>0</v>
      </c>
      <c r="G308">
        <f t="shared" si="10"/>
        <v>0</v>
      </c>
    </row>
    <row r="309" spans="6:7" x14ac:dyDescent="0.4">
      <c r="F309">
        <f t="shared" si="9"/>
        <v>0</v>
      </c>
      <c r="G309">
        <f t="shared" si="10"/>
        <v>0</v>
      </c>
    </row>
    <row r="310" spans="6:7" x14ac:dyDescent="0.4">
      <c r="F310">
        <f t="shared" si="9"/>
        <v>0</v>
      </c>
      <c r="G310">
        <f t="shared" si="10"/>
        <v>0</v>
      </c>
    </row>
    <row r="311" spans="6:7" x14ac:dyDescent="0.4">
      <c r="F311">
        <f t="shared" si="9"/>
        <v>0</v>
      </c>
      <c r="G311">
        <f t="shared" si="10"/>
        <v>0</v>
      </c>
    </row>
    <row r="312" spans="6:7" x14ac:dyDescent="0.4">
      <c r="F312">
        <f t="shared" si="9"/>
        <v>0</v>
      </c>
      <c r="G312">
        <f t="shared" si="10"/>
        <v>0</v>
      </c>
    </row>
    <row r="313" spans="6:7" x14ac:dyDescent="0.4">
      <c r="F313">
        <f t="shared" si="9"/>
        <v>0</v>
      </c>
      <c r="G313">
        <f t="shared" si="10"/>
        <v>0</v>
      </c>
    </row>
    <row r="314" spans="6:7" x14ac:dyDescent="0.4">
      <c r="F314">
        <f t="shared" si="9"/>
        <v>0</v>
      </c>
      <c r="G314">
        <f t="shared" si="10"/>
        <v>0</v>
      </c>
    </row>
    <row r="315" spans="6:7" x14ac:dyDescent="0.4">
      <c r="F315">
        <f t="shared" si="9"/>
        <v>0</v>
      </c>
      <c r="G315">
        <f t="shared" si="10"/>
        <v>0</v>
      </c>
    </row>
    <row r="316" spans="6:7" x14ac:dyDescent="0.4">
      <c r="F316">
        <f t="shared" si="9"/>
        <v>0</v>
      </c>
      <c r="G316">
        <f t="shared" si="10"/>
        <v>0</v>
      </c>
    </row>
    <row r="317" spans="6:7" x14ac:dyDescent="0.4">
      <c r="F317">
        <f t="shared" si="9"/>
        <v>0</v>
      </c>
      <c r="G317">
        <f t="shared" si="10"/>
        <v>0</v>
      </c>
    </row>
    <row r="318" spans="6:7" x14ac:dyDescent="0.4">
      <c r="F318">
        <f t="shared" si="9"/>
        <v>0</v>
      </c>
      <c r="G318">
        <f t="shared" si="10"/>
        <v>0</v>
      </c>
    </row>
    <row r="319" spans="6:7" x14ac:dyDescent="0.4">
      <c r="F319">
        <f t="shared" si="9"/>
        <v>0</v>
      </c>
      <c r="G319">
        <f t="shared" si="10"/>
        <v>0</v>
      </c>
    </row>
    <row r="320" spans="6:7" x14ac:dyDescent="0.4">
      <c r="F320">
        <f t="shared" si="9"/>
        <v>0</v>
      </c>
      <c r="G320">
        <f t="shared" si="10"/>
        <v>0</v>
      </c>
    </row>
    <row r="321" spans="6:7" x14ac:dyDescent="0.4">
      <c r="F321">
        <f t="shared" si="9"/>
        <v>0</v>
      </c>
      <c r="G321">
        <f t="shared" si="10"/>
        <v>0</v>
      </c>
    </row>
    <row r="322" spans="6:7" x14ac:dyDescent="0.4">
      <c r="F322">
        <f t="shared" si="9"/>
        <v>0</v>
      </c>
      <c r="G322">
        <f t="shared" si="10"/>
        <v>0</v>
      </c>
    </row>
    <row r="323" spans="6:7" x14ac:dyDescent="0.4">
      <c r="F323">
        <f t="shared" ref="F323:F386" si="11">E323*D323</f>
        <v>0</v>
      </c>
      <c r="G323">
        <f t="shared" ref="G323:G386" si="12">F323-(F323*0.3)</f>
        <v>0</v>
      </c>
    </row>
    <row r="324" spans="6:7" x14ac:dyDescent="0.4">
      <c r="F324">
        <f t="shared" si="11"/>
        <v>0</v>
      </c>
      <c r="G324">
        <f t="shared" si="12"/>
        <v>0</v>
      </c>
    </row>
    <row r="325" spans="6:7" x14ac:dyDescent="0.4">
      <c r="F325">
        <f t="shared" si="11"/>
        <v>0</v>
      </c>
      <c r="G325">
        <f t="shared" si="12"/>
        <v>0</v>
      </c>
    </row>
    <row r="326" spans="6:7" x14ac:dyDescent="0.4">
      <c r="F326">
        <f t="shared" si="11"/>
        <v>0</v>
      </c>
      <c r="G326">
        <f t="shared" si="12"/>
        <v>0</v>
      </c>
    </row>
    <row r="327" spans="6:7" x14ac:dyDescent="0.4">
      <c r="F327">
        <f t="shared" si="11"/>
        <v>0</v>
      </c>
      <c r="G327">
        <f t="shared" si="12"/>
        <v>0</v>
      </c>
    </row>
    <row r="328" spans="6:7" x14ac:dyDescent="0.4">
      <c r="F328">
        <f t="shared" si="11"/>
        <v>0</v>
      </c>
      <c r="G328">
        <f t="shared" si="12"/>
        <v>0</v>
      </c>
    </row>
    <row r="329" spans="6:7" x14ac:dyDescent="0.4">
      <c r="F329">
        <f t="shared" si="11"/>
        <v>0</v>
      </c>
      <c r="G329">
        <f t="shared" si="12"/>
        <v>0</v>
      </c>
    </row>
    <row r="330" spans="6:7" x14ac:dyDescent="0.4">
      <c r="F330">
        <f t="shared" si="11"/>
        <v>0</v>
      </c>
      <c r="G330">
        <f t="shared" si="12"/>
        <v>0</v>
      </c>
    </row>
    <row r="331" spans="6:7" x14ac:dyDescent="0.4">
      <c r="F331">
        <f t="shared" si="11"/>
        <v>0</v>
      </c>
      <c r="G331">
        <f t="shared" si="12"/>
        <v>0</v>
      </c>
    </row>
    <row r="332" spans="6:7" x14ac:dyDescent="0.4">
      <c r="F332">
        <f t="shared" si="11"/>
        <v>0</v>
      </c>
      <c r="G332">
        <f t="shared" si="12"/>
        <v>0</v>
      </c>
    </row>
    <row r="333" spans="6:7" x14ac:dyDescent="0.4">
      <c r="F333">
        <f t="shared" si="11"/>
        <v>0</v>
      </c>
      <c r="G333">
        <f t="shared" si="12"/>
        <v>0</v>
      </c>
    </row>
    <row r="334" spans="6:7" x14ac:dyDescent="0.4">
      <c r="F334">
        <f t="shared" si="11"/>
        <v>0</v>
      </c>
      <c r="G334">
        <f t="shared" si="12"/>
        <v>0</v>
      </c>
    </row>
    <row r="335" spans="6:7" x14ac:dyDescent="0.4">
      <c r="F335">
        <f t="shared" si="11"/>
        <v>0</v>
      </c>
      <c r="G335">
        <f t="shared" si="12"/>
        <v>0</v>
      </c>
    </row>
    <row r="336" spans="6:7" x14ac:dyDescent="0.4">
      <c r="F336">
        <f t="shared" si="11"/>
        <v>0</v>
      </c>
      <c r="G336">
        <f t="shared" si="12"/>
        <v>0</v>
      </c>
    </row>
    <row r="337" spans="6:7" x14ac:dyDescent="0.4">
      <c r="F337">
        <f t="shared" si="11"/>
        <v>0</v>
      </c>
      <c r="G337">
        <f t="shared" si="12"/>
        <v>0</v>
      </c>
    </row>
    <row r="338" spans="6:7" x14ac:dyDescent="0.4">
      <c r="F338">
        <f t="shared" si="11"/>
        <v>0</v>
      </c>
      <c r="G338">
        <f t="shared" si="12"/>
        <v>0</v>
      </c>
    </row>
    <row r="339" spans="6:7" x14ac:dyDescent="0.4">
      <c r="F339">
        <f t="shared" si="11"/>
        <v>0</v>
      </c>
      <c r="G339">
        <f t="shared" si="12"/>
        <v>0</v>
      </c>
    </row>
    <row r="340" spans="6:7" x14ac:dyDescent="0.4">
      <c r="F340">
        <f t="shared" si="11"/>
        <v>0</v>
      </c>
      <c r="G340">
        <f t="shared" si="12"/>
        <v>0</v>
      </c>
    </row>
    <row r="341" spans="6:7" x14ac:dyDescent="0.4">
      <c r="F341">
        <f t="shared" si="11"/>
        <v>0</v>
      </c>
      <c r="G341">
        <f t="shared" si="12"/>
        <v>0</v>
      </c>
    </row>
    <row r="342" spans="6:7" x14ac:dyDescent="0.4">
      <c r="F342">
        <f t="shared" si="11"/>
        <v>0</v>
      </c>
      <c r="G342">
        <f t="shared" si="12"/>
        <v>0</v>
      </c>
    </row>
    <row r="343" spans="6:7" x14ac:dyDescent="0.4">
      <c r="F343">
        <f t="shared" si="11"/>
        <v>0</v>
      </c>
      <c r="G343">
        <f t="shared" si="12"/>
        <v>0</v>
      </c>
    </row>
    <row r="344" spans="6:7" x14ac:dyDescent="0.4">
      <c r="F344">
        <f t="shared" si="11"/>
        <v>0</v>
      </c>
      <c r="G344">
        <f t="shared" si="12"/>
        <v>0</v>
      </c>
    </row>
    <row r="345" spans="6:7" x14ac:dyDescent="0.4">
      <c r="F345">
        <f t="shared" si="11"/>
        <v>0</v>
      </c>
      <c r="G345">
        <f t="shared" si="12"/>
        <v>0</v>
      </c>
    </row>
    <row r="346" spans="6:7" x14ac:dyDescent="0.4">
      <c r="F346">
        <f t="shared" si="11"/>
        <v>0</v>
      </c>
      <c r="G346">
        <f t="shared" si="12"/>
        <v>0</v>
      </c>
    </row>
    <row r="347" spans="6:7" x14ac:dyDescent="0.4">
      <c r="F347">
        <f t="shared" si="11"/>
        <v>0</v>
      </c>
      <c r="G347">
        <f t="shared" si="12"/>
        <v>0</v>
      </c>
    </row>
    <row r="348" spans="6:7" x14ac:dyDescent="0.4">
      <c r="F348">
        <f t="shared" si="11"/>
        <v>0</v>
      </c>
      <c r="G348">
        <f t="shared" si="12"/>
        <v>0</v>
      </c>
    </row>
    <row r="349" spans="6:7" x14ac:dyDescent="0.4">
      <c r="F349">
        <f t="shared" si="11"/>
        <v>0</v>
      </c>
      <c r="G349">
        <f t="shared" si="12"/>
        <v>0</v>
      </c>
    </row>
    <row r="350" spans="6:7" x14ac:dyDescent="0.4">
      <c r="F350">
        <f t="shared" si="11"/>
        <v>0</v>
      </c>
      <c r="G350">
        <f t="shared" si="12"/>
        <v>0</v>
      </c>
    </row>
    <row r="351" spans="6:7" x14ac:dyDescent="0.4">
      <c r="F351">
        <f t="shared" si="11"/>
        <v>0</v>
      </c>
      <c r="G351">
        <f t="shared" si="12"/>
        <v>0</v>
      </c>
    </row>
    <row r="352" spans="6:7" x14ac:dyDescent="0.4">
      <c r="F352">
        <f t="shared" si="11"/>
        <v>0</v>
      </c>
      <c r="G352">
        <f t="shared" si="12"/>
        <v>0</v>
      </c>
    </row>
    <row r="353" spans="6:7" x14ac:dyDescent="0.4">
      <c r="F353">
        <f t="shared" si="11"/>
        <v>0</v>
      </c>
      <c r="G353">
        <f t="shared" si="12"/>
        <v>0</v>
      </c>
    </row>
    <row r="354" spans="6:7" x14ac:dyDescent="0.4">
      <c r="F354">
        <f t="shared" si="11"/>
        <v>0</v>
      </c>
      <c r="G354">
        <f t="shared" si="12"/>
        <v>0</v>
      </c>
    </row>
    <row r="355" spans="6:7" x14ac:dyDescent="0.4">
      <c r="F355">
        <f t="shared" si="11"/>
        <v>0</v>
      </c>
      <c r="G355">
        <f t="shared" si="12"/>
        <v>0</v>
      </c>
    </row>
    <row r="356" spans="6:7" x14ac:dyDescent="0.4">
      <c r="F356">
        <f t="shared" si="11"/>
        <v>0</v>
      </c>
      <c r="G356">
        <f t="shared" si="12"/>
        <v>0</v>
      </c>
    </row>
    <row r="357" spans="6:7" x14ac:dyDescent="0.4">
      <c r="F357">
        <f t="shared" si="11"/>
        <v>0</v>
      </c>
      <c r="G357">
        <f t="shared" si="12"/>
        <v>0</v>
      </c>
    </row>
    <row r="358" spans="6:7" x14ac:dyDescent="0.4">
      <c r="F358">
        <f t="shared" si="11"/>
        <v>0</v>
      </c>
      <c r="G358">
        <f t="shared" si="12"/>
        <v>0</v>
      </c>
    </row>
    <row r="359" spans="6:7" x14ac:dyDescent="0.4">
      <c r="F359">
        <f t="shared" si="11"/>
        <v>0</v>
      </c>
      <c r="G359">
        <f t="shared" si="12"/>
        <v>0</v>
      </c>
    </row>
    <row r="360" spans="6:7" x14ac:dyDescent="0.4">
      <c r="F360">
        <f t="shared" si="11"/>
        <v>0</v>
      </c>
      <c r="G360">
        <f t="shared" si="12"/>
        <v>0</v>
      </c>
    </row>
    <row r="361" spans="6:7" x14ac:dyDescent="0.4">
      <c r="F361">
        <f t="shared" si="11"/>
        <v>0</v>
      </c>
      <c r="G361">
        <f t="shared" si="12"/>
        <v>0</v>
      </c>
    </row>
    <row r="362" spans="6:7" x14ac:dyDescent="0.4">
      <c r="F362">
        <f t="shared" si="11"/>
        <v>0</v>
      </c>
      <c r="G362">
        <f t="shared" si="12"/>
        <v>0</v>
      </c>
    </row>
    <row r="363" spans="6:7" x14ac:dyDescent="0.4">
      <c r="F363">
        <f t="shared" si="11"/>
        <v>0</v>
      </c>
      <c r="G363">
        <f t="shared" si="12"/>
        <v>0</v>
      </c>
    </row>
    <row r="364" spans="6:7" x14ac:dyDescent="0.4">
      <c r="F364">
        <f t="shared" si="11"/>
        <v>0</v>
      </c>
      <c r="G364">
        <f t="shared" si="12"/>
        <v>0</v>
      </c>
    </row>
    <row r="365" spans="6:7" x14ac:dyDescent="0.4">
      <c r="F365">
        <f t="shared" si="11"/>
        <v>0</v>
      </c>
      <c r="G365">
        <f t="shared" si="12"/>
        <v>0</v>
      </c>
    </row>
    <row r="366" spans="6:7" x14ac:dyDescent="0.4">
      <c r="F366">
        <f t="shared" si="11"/>
        <v>0</v>
      </c>
      <c r="G366">
        <f t="shared" si="12"/>
        <v>0</v>
      </c>
    </row>
    <row r="367" spans="6:7" x14ac:dyDescent="0.4">
      <c r="F367">
        <f t="shared" si="11"/>
        <v>0</v>
      </c>
      <c r="G367">
        <f t="shared" si="12"/>
        <v>0</v>
      </c>
    </row>
    <row r="368" spans="6:7" x14ac:dyDescent="0.4">
      <c r="F368">
        <f t="shared" si="11"/>
        <v>0</v>
      </c>
      <c r="G368">
        <f t="shared" si="12"/>
        <v>0</v>
      </c>
    </row>
    <row r="369" spans="6:7" x14ac:dyDescent="0.4">
      <c r="F369">
        <f t="shared" si="11"/>
        <v>0</v>
      </c>
      <c r="G369">
        <f t="shared" si="12"/>
        <v>0</v>
      </c>
    </row>
    <row r="370" spans="6:7" x14ac:dyDescent="0.4">
      <c r="F370">
        <f t="shared" si="11"/>
        <v>0</v>
      </c>
      <c r="G370">
        <f t="shared" si="12"/>
        <v>0</v>
      </c>
    </row>
    <row r="371" spans="6:7" x14ac:dyDescent="0.4">
      <c r="F371">
        <f t="shared" si="11"/>
        <v>0</v>
      </c>
      <c r="G371">
        <f t="shared" si="12"/>
        <v>0</v>
      </c>
    </row>
    <row r="372" spans="6:7" x14ac:dyDescent="0.4">
      <c r="F372">
        <f t="shared" si="11"/>
        <v>0</v>
      </c>
      <c r="G372">
        <f t="shared" si="12"/>
        <v>0</v>
      </c>
    </row>
    <row r="373" spans="6:7" x14ac:dyDescent="0.4">
      <c r="F373">
        <f t="shared" si="11"/>
        <v>0</v>
      </c>
      <c r="G373">
        <f t="shared" si="12"/>
        <v>0</v>
      </c>
    </row>
    <row r="374" spans="6:7" x14ac:dyDescent="0.4">
      <c r="F374">
        <f t="shared" si="11"/>
        <v>0</v>
      </c>
      <c r="G374">
        <f t="shared" si="12"/>
        <v>0</v>
      </c>
    </row>
    <row r="375" spans="6:7" x14ac:dyDescent="0.4">
      <c r="F375">
        <f t="shared" si="11"/>
        <v>0</v>
      </c>
      <c r="G375">
        <f t="shared" si="12"/>
        <v>0</v>
      </c>
    </row>
    <row r="376" spans="6:7" x14ac:dyDescent="0.4">
      <c r="F376">
        <f t="shared" si="11"/>
        <v>0</v>
      </c>
      <c r="G376">
        <f t="shared" si="12"/>
        <v>0</v>
      </c>
    </row>
    <row r="377" spans="6:7" x14ac:dyDescent="0.4">
      <c r="F377">
        <f t="shared" si="11"/>
        <v>0</v>
      </c>
      <c r="G377">
        <f t="shared" si="12"/>
        <v>0</v>
      </c>
    </row>
    <row r="378" spans="6:7" x14ac:dyDescent="0.4">
      <c r="F378">
        <f t="shared" si="11"/>
        <v>0</v>
      </c>
      <c r="G378">
        <f t="shared" si="12"/>
        <v>0</v>
      </c>
    </row>
    <row r="379" spans="6:7" x14ac:dyDescent="0.4">
      <c r="F379">
        <f t="shared" si="11"/>
        <v>0</v>
      </c>
      <c r="G379">
        <f t="shared" si="12"/>
        <v>0</v>
      </c>
    </row>
    <row r="380" spans="6:7" x14ac:dyDescent="0.4">
      <c r="F380">
        <f t="shared" si="11"/>
        <v>0</v>
      </c>
      <c r="G380">
        <f t="shared" si="12"/>
        <v>0</v>
      </c>
    </row>
    <row r="381" spans="6:7" x14ac:dyDescent="0.4">
      <c r="F381">
        <f t="shared" si="11"/>
        <v>0</v>
      </c>
      <c r="G381">
        <f t="shared" si="12"/>
        <v>0</v>
      </c>
    </row>
    <row r="382" spans="6:7" x14ac:dyDescent="0.4">
      <c r="F382">
        <f t="shared" si="11"/>
        <v>0</v>
      </c>
      <c r="G382">
        <f t="shared" si="12"/>
        <v>0</v>
      </c>
    </row>
    <row r="383" spans="6:7" x14ac:dyDescent="0.4">
      <c r="F383">
        <f t="shared" si="11"/>
        <v>0</v>
      </c>
      <c r="G383">
        <f t="shared" si="12"/>
        <v>0</v>
      </c>
    </row>
    <row r="384" spans="6:7" x14ac:dyDescent="0.4">
      <c r="F384">
        <f t="shared" si="11"/>
        <v>0</v>
      </c>
      <c r="G384">
        <f t="shared" si="12"/>
        <v>0</v>
      </c>
    </row>
    <row r="385" spans="6:7" x14ac:dyDescent="0.4">
      <c r="F385">
        <f t="shared" si="11"/>
        <v>0</v>
      </c>
      <c r="G385">
        <f t="shared" si="12"/>
        <v>0</v>
      </c>
    </row>
    <row r="386" spans="6:7" x14ac:dyDescent="0.4">
      <c r="F386">
        <f t="shared" si="11"/>
        <v>0</v>
      </c>
      <c r="G386">
        <f t="shared" si="12"/>
        <v>0</v>
      </c>
    </row>
    <row r="387" spans="6:7" x14ac:dyDescent="0.4">
      <c r="F387">
        <f t="shared" ref="F387:F450" si="13">E387*D387</f>
        <v>0</v>
      </c>
      <c r="G387">
        <f t="shared" ref="G387:G450" si="14">F387-(F387*0.3)</f>
        <v>0</v>
      </c>
    </row>
    <row r="388" spans="6:7" x14ac:dyDescent="0.4">
      <c r="F388">
        <f t="shared" si="13"/>
        <v>0</v>
      </c>
      <c r="G388">
        <f t="shared" si="14"/>
        <v>0</v>
      </c>
    </row>
    <row r="389" spans="6:7" x14ac:dyDescent="0.4">
      <c r="F389">
        <f t="shared" si="13"/>
        <v>0</v>
      </c>
      <c r="G389">
        <f t="shared" si="14"/>
        <v>0</v>
      </c>
    </row>
    <row r="390" spans="6:7" x14ac:dyDescent="0.4">
      <c r="F390">
        <f t="shared" si="13"/>
        <v>0</v>
      </c>
      <c r="G390">
        <f t="shared" si="14"/>
        <v>0</v>
      </c>
    </row>
    <row r="391" spans="6:7" x14ac:dyDescent="0.4">
      <c r="F391">
        <f t="shared" si="13"/>
        <v>0</v>
      </c>
      <c r="G391">
        <f t="shared" si="14"/>
        <v>0</v>
      </c>
    </row>
    <row r="392" spans="6:7" x14ac:dyDescent="0.4">
      <c r="F392">
        <f t="shared" si="13"/>
        <v>0</v>
      </c>
      <c r="G392">
        <f t="shared" si="14"/>
        <v>0</v>
      </c>
    </row>
    <row r="393" spans="6:7" x14ac:dyDescent="0.4">
      <c r="F393">
        <f t="shared" si="13"/>
        <v>0</v>
      </c>
      <c r="G393">
        <f t="shared" si="14"/>
        <v>0</v>
      </c>
    </row>
    <row r="394" spans="6:7" x14ac:dyDescent="0.4">
      <c r="F394">
        <f t="shared" si="13"/>
        <v>0</v>
      </c>
      <c r="G394">
        <f t="shared" si="14"/>
        <v>0</v>
      </c>
    </row>
    <row r="395" spans="6:7" x14ac:dyDescent="0.4">
      <c r="F395">
        <f t="shared" si="13"/>
        <v>0</v>
      </c>
      <c r="G395">
        <f t="shared" si="14"/>
        <v>0</v>
      </c>
    </row>
    <row r="396" spans="6:7" x14ac:dyDescent="0.4">
      <c r="F396">
        <f t="shared" si="13"/>
        <v>0</v>
      </c>
      <c r="G396">
        <f t="shared" si="14"/>
        <v>0</v>
      </c>
    </row>
    <row r="397" spans="6:7" x14ac:dyDescent="0.4">
      <c r="F397">
        <f t="shared" si="13"/>
        <v>0</v>
      </c>
      <c r="G397">
        <f t="shared" si="14"/>
        <v>0</v>
      </c>
    </row>
    <row r="398" spans="6:7" x14ac:dyDescent="0.4">
      <c r="F398">
        <f t="shared" si="13"/>
        <v>0</v>
      </c>
      <c r="G398">
        <f t="shared" si="14"/>
        <v>0</v>
      </c>
    </row>
    <row r="399" spans="6:7" x14ac:dyDescent="0.4">
      <c r="F399">
        <f t="shared" si="13"/>
        <v>0</v>
      </c>
      <c r="G399">
        <f t="shared" si="14"/>
        <v>0</v>
      </c>
    </row>
    <row r="400" spans="6:7" x14ac:dyDescent="0.4">
      <c r="F400">
        <f t="shared" si="13"/>
        <v>0</v>
      </c>
      <c r="G400">
        <f t="shared" si="14"/>
        <v>0</v>
      </c>
    </row>
    <row r="401" spans="6:7" x14ac:dyDescent="0.4">
      <c r="F401">
        <f t="shared" si="13"/>
        <v>0</v>
      </c>
      <c r="G401">
        <f t="shared" si="14"/>
        <v>0</v>
      </c>
    </row>
    <row r="402" spans="6:7" x14ac:dyDescent="0.4">
      <c r="F402">
        <f t="shared" si="13"/>
        <v>0</v>
      </c>
      <c r="G402">
        <f t="shared" si="14"/>
        <v>0</v>
      </c>
    </row>
    <row r="403" spans="6:7" x14ac:dyDescent="0.4">
      <c r="F403">
        <f t="shared" si="13"/>
        <v>0</v>
      </c>
      <c r="G403">
        <f t="shared" si="14"/>
        <v>0</v>
      </c>
    </row>
    <row r="404" spans="6:7" x14ac:dyDescent="0.4">
      <c r="F404">
        <f t="shared" si="13"/>
        <v>0</v>
      </c>
      <c r="G404">
        <f t="shared" si="14"/>
        <v>0</v>
      </c>
    </row>
    <row r="405" spans="6:7" x14ac:dyDescent="0.4">
      <c r="F405">
        <f t="shared" si="13"/>
        <v>0</v>
      </c>
      <c r="G405">
        <f t="shared" si="14"/>
        <v>0</v>
      </c>
    </row>
    <row r="406" spans="6:7" x14ac:dyDescent="0.4">
      <c r="F406">
        <f t="shared" si="13"/>
        <v>0</v>
      </c>
      <c r="G406">
        <f t="shared" si="14"/>
        <v>0</v>
      </c>
    </row>
    <row r="407" spans="6:7" x14ac:dyDescent="0.4">
      <c r="F407">
        <f t="shared" si="13"/>
        <v>0</v>
      </c>
      <c r="G407">
        <f t="shared" si="14"/>
        <v>0</v>
      </c>
    </row>
    <row r="408" spans="6:7" x14ac:dyDescent="0.4">
      <c r="F408">
        <f t="shared" si="13"/>
        <v>0</v>
      </c>
      <c r="G408">
        <f t="shared" si="14"/>
        <v>0</v>
      </c>
    </row>
    <row r="409" spans="6:7" x14ac:dyDescent="0.4">
      <c r="F409">
        <f t="shared" si="13"/>
        <v>0</v>
      </c>
      <c r="G409">
        <f t="shared" si="14"/>
        <v>0</v>
      </c>
    </row>
    <row r="410" spans="6:7" x14ac:dyDescent="0.4">
      <c r="F410">
        <f t="shared" si="13"/>
        <v>0</v>
      </c>
      <c r="G410">
        <f t="shared" si="14"/>
        <v>0</v>
      </c>
    </row>
    <row r="411" spans="6:7" x14ac:dyDescent="0.4">
      <c r="F411">
        <f t="shared" si="13"/>
        <v>0</v>
      </c>
      <c r="G411">
        <f t="shared" si="14"/>
        <v>0</v>
      </c>
    </row>
    <row r="412" spans="6:7" x14ac:dyDescent="0.4">
      <c r="F412">
        <f t="shared" si="13"/>
        <v>0</v>
      </c>
      <c r="G412">
        <f t="shared" si="14"/>
        <v>0</v>
      </c>
    </row>
    <row r="413" spans="6:7" x14ac:dyDescent="0.4">
      <c r="F413">
        <f t="shared" si="13"/>
        <v>0</v>
      </c>
      <c r="G413">
        <f t="shared" si="14"/>
        <v>0</v>
      </c>
    </row>
    <row r="414" spans="6:7" x14ac:dyDescent="0.4">
      <c r="F414">
        <f t="shared" si="13"/>
        <v>0</v>
      </c>
      <c r="G414">
        <f t="shared" si="14"/>
        <v>0</v>
      </c>
    </row>
    <row r="415" spans="6:7" x14ac:dyDescent="0.4">
      <c r="F415">
        <f t="shared" si="13"/>
        <v>0</v>
      </c>
      <c r="G415">
        <f t="shared" si="14"/>
        <v>0</v>
      </c>
    </row>
    <row r="416" spans="6:7" x14ac:dyDescent="0.4">
      <c r="F416">
        <f t="shared" si="13"/>
        <v>0</v>
      </c>
      <c r="G416">
        <f t="shared" si="14"/>
        <v>0</v>
      </c>
    </row>
    <row r="417" spans="6:7" x14ac:dyDescent="0.4">
      <c r="F417">
        <f t="shared" si="13"/>
        <v>0</v>
      </c>
      <c r="G417">
        <f t="shared" si="14"/>
        <v>0</v>
      </c>
    </row>
    <row r="418" spans="6:7" x14ac:dyDescent="0.4">
      <c r="F418">
        <f t="shared" si="13"/>
        <v>0</v>
      </c>
      <c r="G418">
        <f t="shared" si="14"/>
        <v>0</v>
      </c>
    </row>
    <row r="419" spans="6:7" x14ac:dyDescent="0.4">
      <c r="F419">
        <f t="shared" si="13"/>
        <v>0</v>
      </c>
      <c r="G419">
        <f t="shared" si="14"/>
        <v>0</v>
      </c>
    </row>
    <row r="420" spans="6:7" x14ac:dyDescent="0.4">
      <c r="F420">
        <f t="shared" si="13"/>
        <v>0</v>
      </c>
      <c r="G420">
        <f t="shared" si="14"/>
        <v>0</v>
      </c>
    </row>
    <row r="421" spans="6:7" x14ac:dyDescent="0.4">
      <c r="F421">
        <f t="shared" si="13"/>
        <v>0</v>
      </c>
      <c r="G421">
        <f t="shared" si="14"/>
        <v>0</v>
      </c>
    </row>
    <row r="422" spans="6:7" x14ac:dyDescent="0.4">
      <c r="F422">
        <f t="shared" si="13"/>
        <v>0</v>
      </c>
      <c r="G422">
        <f t="shared" si="14"/>
        <v>0</v>
      </c>
    </row>
    <row r="423" spans="6:7" x14ac:dyDescent="0.4">
      <c r="F423">
        <f t="shared" si="13"/>
        <v>0</v>
      </c>
      <c r="G423">
        <f t="shared" si="14"/>
        <v>0</v>
      </c>
    </row>
    <row r="424" spans="6:7" x14ac:dyDescent="0.4">
      <c r="F424">
        <f t="shared" si="13"/>
        <v>0</v>
      </c>
      <c r="G424">
        <f t="shared" si="14"/>
        <v>0</v>
      </c>
    </row>
    <row r="425" spans="6:7" x14ac:dyDescent="0.4">
      <c r="F425">
        <f t="shared" si="13"/>
        <v>0</v>
      </c>
      <c r="G425">
        <f t="shared" si="14"/>
        <v>0</v>
      </c>
    </row>
    <row r="426" spans="6:7" x14ac:dyDescent="0.4">
      <c r="F426">
        <f t="shared" si="13"/>
        <v>0</v>
      </c>
      <c r="G426">
        <f t="shared" si="14"/>
        <v>0</v>
      </c>
    </row>
    <row r="427" spans="6:7" x14ac:dyDescent="0.4">
      <c r="F427">
        <f t="shared" si="13"/>
        <v>0</v>
      </c>
      <c r="G427">
        <f t="shared" si="14"/>
        <v>0</v>
      </c>
    </row>
    <row r="428" spans="6:7" x14ac:dyDescent="0.4">
      <c r="F428">
        <f t="shared" si="13"/>
        <v>0</v>
      </c>
      <c r="G428">
        <f t="shared" si="14"/>
        <v>0</v>
      </c>
    </row>
    <row r="429" spans="6:7" x14ac:dyDescent="0.4">
      <c r="F429">
        <f t="shared" si="13"/>
        <v>0</v>
      </c>
      <c r="G429">
        <f t="shared" si="14"/>
        <v>0</v>
      </c>
    </row>
    <row r="430" spans="6:7" x14ac:dyDescent="0.4">
      <c r="F430">
        <f t="shared" si="13"/>
        <v>0</v>
      </c>
      <c r="G430">
        <f t="shared" si="14"/>
        <v>0</v>
      </c>
    </row>
    <row r="431" spans="6:7" x14ac:dyDescent="0.4">
      <c r="F431">
        <f t="shared" si="13"/>
        <v>0</v>
      </c>
      <c r="G431">
        <f t="shared" si="14"/>
        <v>0</v>
      </c>
    </row>
    <row r="432" spans="6:7" x14ac:dyDescent="0.4">
      <c r="F432">
        <f t="shared" si="13"/>
        <v>0</v>
      </c>
      <c r="G432">
        <f t="shared" si="14"/>
        <v>0</v>
      </c>
    </row>
    <row r="433" spans="6:7" x14ac:dyDescent="0.4">
      <c r="F433">
        <f t="shared" si="13"/>
        <v>0</v>
      </c>
      <c r="G433">
        <f t="shared" si="14"/>
        <v>0</v>
      </c>
    </row>
    <row r="434" spans="6:7" x14ac:dyDescent="0.4">
      <c r="F434">
        <f t="shared" si="13"/>
        <v>0</v>
      </c>
      <c r="G434">
        <f t="shared" si="14"/>
        <v>0</v>
      </c>
    </row>
    <row r="435" spans="6:7" x14ac:dyDescent="0.4">
      <c r="F435">
        <f t="shared" si="13"/>
        <v>0</v>
      </c>
      <c r="G435">
        <f t="shared" si="14"/>
        <v>0</v>
      </c>
    </row>
    <row r="436" spans="6:7" x14ac:dyDescent="0.4">
      <c r="F436">
        <f t="shared" si="13"/>
        <v>0</v>
      </c>
      <c r="G436">
        <f t="shared" si="14"/>
        <v>0</v>
      </c>
    </row>
    <row r="437" spans="6:7" x14ac:dyDescent="0.4">
      <c r="F437">
        <f t="shared" si="13"/>
        <v>0</v>
      </c>
      <c r="G437">
        <f t="shared" si="14"/>
        <v>0</v>
      </c>
    </row>
    <row r="438" spans="6:7" x14ac:dyDescent="0.4">
      <c r="F438">
        <f t="shared" si="13"/>
        <v>0</v>
      </c>
      <c r="G438">
        <f t="shared" si="14"/>
        <v>0</v>
      </c>
    </row>
    <row r="439" spans="6:7" x14ac:dyDescent="0.4">
      <c r="F439">
        <f t="shared" si="13"/>
        <v>0</v>
      </c>
      <c r="G439">
        <f t="shared" si="14"/>
        <v>0</v>
      </c>
    </row>
    <row r="440" spans="6:7" x14ac:dyDescent="0.4">
      <c r="F440">
        <f t="shared" si="13"/>
        <v>0</v>
      </c>
      <c r="G440">
        <f t="shared" si="14"/>
        <v>0</v>
      </c>
    </row>
    <row r="441" spans="6:7" x14ac:dyDescent="0.4">
      <c r="F441">
        <f t="shared" si="13"/>
        <v>0</v>
      </c>
      <c r="G441">
        <f t="shared" si="14"/>
        <v>0</v>
      </c>
    </row>
    <row r="442" spans="6:7" x14ac:dyDescent="0.4">
      <c r="F442">
        <f t="shared" si="13"/>
        <v>0</v>
      </c>
      <c r="G442">
        <f t="shared" si="14"/>
        <v>0</v>
      </c>
    </row>
    <row r="443" spans="6:7" x14ac:dyDescent="0.4">
      <c r="F443">
        <f t="shared" si="13"/>
        <v>0</v>
      </c>
      <c r="G443">
        <f t="shared" si="14"/>
        <v>0</v>
      </c>
    </row>
    <row r="444" spans="6:7" x14ac:dyDescent="0.4">
      <c r="F444">
        <f t="shared" si="13"/>
        <v>0</v>
      </c>
      <c r="G444">
        <f t="shared" si="14"/>
        <v>0</v>
      </c>
    </row>
    <row r="445" spans="6:7" x14ac:dyDescent="0.4">
      <c r="F445">
        <f t="shared" si="13"/>
        <v>0</v>
      </c>
      <c r="G445">
        <f t="shared" si="14"/>
        <v>0</v>
      </c>
    </row>
    <row r="446" spans="6:7" x14ac:dyDescent="0.4">
      <c r="F446">
        <f t="shared" si="13"/>
        <v>0</v>
      </c>
      <c r="G446">
        <f t="shared" si="14"/>
        <v>0</v>
      </c>
    </row>
    <row r="447" spans="6:7" x14ac:dyDescent="0.4">
      <c r="F447">
        <f t="shared" si="13"/>
        <v>0</v>
      </c>
      <c r="G447">
        <f t="shared" si="14"/>
        <v>0</v>
      </c>
    </row>
    <row r="448" spans="6:7" x14ac:dyDescent="0.4">
      <c r="F448">
        <f t="shared" si="13"/>
        <v>0</v>
      </c>
      <c r="G448">
        <f t="shared" si="14"/>
        <v>0</v>
      </c>
    </row>
    <row r="449" spans="6:7" x14ac:dyDescent="0.4">
      <c r="F449">
        <f t="shared" si="13"/>
        <v>0</v>
      </c>
      <c r="G449">
        <f t="shared" si="14"/>
        <v>0</v>
      </c>
    </row>
    <row r="450" spans="6:7" x14ac:dyDescent="0.4">
      <c r="F450">
        <f t="shared" si="13"/>
        <v>0</v>
      </c>
      <c r="G450">
        <f t="shared" si="14"/>
        <v>0</v>
      </c>
    </row>
    <row r="451" spans="6:7" x14ac:dyDescent="0.4">
      <c r="F451">
        <f t="shared" ref="F451:F514" si="15">E451*D451</f>
        <v>0</v>
      </c>
      <c r="G451">
        <f t="shared" ref="G451:G514" si="16">F451-(F451*0.3)</f>
        <v>0</v>
      </c>
    </row>
    <row r="452" spans="6:7" x14ac:dyDescent="0.4">
      <c r="F452">
        <f t="shared" si="15"/>
        <v>0</v>
      </c>
      <c r="G452">
        <f t="shared" si="16"/>
        <v>0</v>
      </c>
    </row>
    <row r="453" spans="6:7" x14ac:dyDescent="0.4">
      <c r="F453">
        <f t="shared" si="15"/>
        <v>0</v>
      </c>
      <c r="G453">
        <f t="shared" si="16"/>
        <v>0</v>
      </c>
    </row>
    <row r="454" spans="6:7" x14ac:dyDescent="0.4">
      <c r="F454">
        <f t="shared" si="15"/>
        <v>0</v>
      </c>
      <c r="G454">
        <f t="shared" si="16"/>
        <v>0</v>
      </c>
    </row>
    <row r="455" spans="6:7" x14ac:dyDescent="0.4">
      <c r="F455">
        <f t="shared" si="15"/>
        <v>0</v>
      </c>
      <c r="G455">
        <f t="shared" si="16"/>
        <v>0</v>
      </c>
    </row>
    <row r="456" spans="6:7" x14ac:dyDescent="0.4">
      <c r="F456">
        <f t="shared" si="15"/>
        <v>0</v>
      </c>
      <c r="G456">
        <f t="shared" si="16"/>
        <v>0</v>
      </c>
    </row>
    <row r="457" spans="6:7" x14ac:dyDescent="0.4">
      <c r="F457">
        <f t="shared" si="15"/>
        <v>0</v>
      </c>
      <c r="G457">
        <f t="shared" si="16"/>
        <v>0</v>
      </c>
    </row>
    <row r="458" spans="6:7" x14ac:dyDescent="0.4">
      <c r="F458">
        <f t="shared" si="15"/>
        <v>0</v>
      </c>
      <c r="G458">
        <f t="shared" si="16"/>
        <v>0</v>
      </c>
    </row>
    <row r="459" spans="6:7" x14ac:dyDescent="0.4">
      <c r="F459">
        <f t="shared" si="15"/>
        <v>0</v>
      </c>
      <c r="G459">
        <f t="shared" si="16"/>
        <v>0</v>
      </c>
    </row>
    <row r="460" spans="6:7" x14ac:dyDescent="0.4">
      <c r="F460">
        <f t="shared" si="15"/>
        <v>0</v>
      </c>
      <c r="G460">
        <f t="shared" si="16"/>
        <v>0</v>
      </c>
    </row>
    <row r="461" spans="6:7" x14ac:dyDescent="0.4">
      <c r="F461">
        <f t="shared" si="15"/>
        <v>0</v>
      </c>
      <c r="G461">
        <f t="shared" si="16"/>
        <v>0</v>
      </c>
    </row>
    <row r="462" spans="6:7" x14ac:dyDescent="0.4">
      <c r="F462">
        <f t="shared" si="15"/>
        <v>0</v>
      </c>
      <c r="G462">
        <f t="shared" si="16"/>
        <v>0</v>
      </c>
    </row>
    <row r="463" spans="6:7" x14ac:dyDescent="0.4">
      <c r="F463">
        <f t="shared" si="15"/>
        <v>0</v>
      </c>
      <c r="G463">
        <f t="shared" si="16"/>
        <v>0</v>
      </c>
    </row>
    <row r="464" spans="6:7" x14ac:dyDescent="0.4">
      <c r="F464">
        <f t="shared" si="15"/>
        <v>0</v>
      </c>
      <c r="G464">
        <f t="shared" si="16"/>
        <v>0</v>
      </c>
    </row>
    <row r="465" spans="6:7" x14ac:dyDescent="0.4">
      <c r="F465">
        <f t="shared" si="15"/>
        <v>0</v>
      </c>
      <c r="G465">
        <f t="shared" si="16"/>
        <v>0</v>
      </c>
    </row>
    <row r="466" spans="6:7" x14ac:dyDescent="0.4">
      <c r="F466">
        <f t="shared" si="15"/>
        <v>0</v>
      </c>
      <c r="G466">
        <f t="shared" si="16"/>
        <v>0</v>
      </c>
    </row>
    <row r="467" spans="6:7" x14ac:dyDescent="0.4">
      <c r="F467">
        <f t="shared" si="15"/>
        <v>0</v>
      </c>
      <c r="G467">
        <f t="shared" si="16"/>
        <v>0</v>
      </c>
    </row>
    <row r="468" spans="6:7" x14ac:dyDescent="0.4">
      <c r="F468">
        <f t="shared" si="15"/>
        <v>0</v>
      </c>
      <c r="G468">
        <f t="shared" si="16"/>
        <v>0</v>
      </c>
    </row>
    <row r="469" spans="6:7" x14ac:dyDescent="0.4">
      <c r="F469">
        <f t="shared" si="15"/>
        <v>0</v>
      </c>
      <c r="G469">
        <f t="shared" si="16"/>
        <v>0</v>
      </c>
    </row>
    <row r="470" spans="6:7" x14ac:dyDescent="0.4">
      <c r="F470">
        <f t="shared" si="15"/>
        <v>0</v>
      </c>
      <c r="G470">
        <f t="shared" si="16"/>
        <v>0</v>
      </c>
    </row>
    <row r="471" spans="6:7" x14ac:dyDescent="0.4">
      <c r="F471">
        <f t="shared" si="15"/>
        <v>0</v>
      </c>
      <c r="G471">
        <f t="shared" si="16"/>
        <v>0</v>
      </c>
    </row>
    <row r="472" spans="6:7" x14ac:dyDescent="0.4">
      <c r="F472">
        <f t="shared" si="15"/>
        <v>0</v>
      </c>
      <c r="G472">
        <f t="shared" si="16"/>
        <v>0</v>
      </c>
    </row>
    <row r="473" spans="6:7" x14ac:dyDescent="0.4">
      <c r="F473">
        <f t="shared" si="15"/>
        <v>0</v>
      </c>
      <c r="G473">
        <f t="shared" si="16"/>
        <v>0</v>
      </c>
    </row>
    <row r="474" spans="6:7" x14ac:dyDescent="0.4">
      <c r="F474">
        <f t="shared" si="15"/>
        <v>0</v>
      </c>
      <c r="G474">
        <f t="shared" si="16"/>
        <v>0</v>
      </c>
    </row>
    <row r="475" spans="6:7" x14ac:dyDescent="0.4">
      <c r="F475">
        <f t="shared" si="15"/>
        <v>0</v>
      </c>
      <c r="G475">
        <f t="shared" si="16"/>
        <v>0</v>
      </c>
    </row>
    <row r="476" spans="6:7" x14ac:dyDescent="0.4">
      <c r="F476">
        <f t="shared" si="15"/>
        <v>0</v>
      </c>
      <c r="G476">
        <f t="shared" si="16"/>
        <v>0</v>
      </c>
    </row>
    <row r="477" spans="6:7" x14ac:dyDescent="0.4">
      <c r="F477">
        <f t="shared" si="15"/>
        <v>0</v>
      </c>
      <c r="G477">
        <f t="shared" si="16"/>
        <v>0</v>
      </c>
    </row>
    <row r="478" spans="6:7" x14ac:dyDescent="0.4">
      <c r="F478">
        <f t="shared" si="15"/>
        <v>0</v>
      </c>
      <c r="G478">
        <f t="shared" si="16"/>
        <v>0</v>
      </c>
    </row>
    <row r="479" spans="6:7" x14ac:dyDescent="0.4">
      <c r="F479">
        <f t="shared" si="15"/>
        <v>0</v>
      </c>
      <c r="G479">
        <f t="shared" si="16"/>
        <v>0</v>
      </c>
    </row>
    <row r="480" spans="6:7" x14ac:dyDescent="0.4">
      <c r="F480">
        <f t="shared" si="15"/>
        <v>0</v>
      </c>
      <c r="G480">
        <f t="shared" si="16"/>
        <v>0</v>
      </c>
    </row>
    <row r="481" spans="6:7" x14ac:dyDescent="0.4">
      <c r="F481">
        <f t="shared" si="15"/>
        <v>0</v>
      </c>
      <c r="G481">
        <f t="shared" si="16"/>
        <v>0</v>
      </c>
    </row>
    <row r="482" spans="6:7" x14ac:dyDescent="0.4">
      <c r="F482">
        <f t="shared" si="15"/>
        <v>0</v>
      </c>
      <c r="G482">
        <f t="shared" si="16"/>
        <v>0</v>
      </c>
    </row>
    <row r="483" spans="6:7" x14ac:dyDescent="0.4">
      <c r="F483">
        <f t="shared" si="15"/>
        <v>0</v>
      </c>
      <c r="G483">
        <f t="shared" si="16"/>
        <v>0</v>
      </c>
    </row>
    <row r="484" spans="6:7" x14ac:dyDescent="0.4">
      <c r="F484">
        <f t="shared" si="15"/>
        <v>0</v>
      </c>
      <c r="G484">
        <f t="shared" si="16"/>
        <v>0</v>
      </c>
    </row>
    <row r="485" spans="6:7" x14ac:dyDescent="0.4">
      <c r="F485">
        <f t="shared" si="15"/>
        <v>0</v>
      </c>
      <c r="G485">
        <f t="shared" si="16"/>
        <v>0</v>
      </c>
    </row>
    <row r="486" spans="6:7" x14ac:dyDescent="0.4">
      <c r="F486">
        <f t="shared" si="15"/>
        <v>0</v>
      </c>
      <c r="G486">
        <f t="shared" si="16"/>
        <v>0</v>
      </c>
    </row>
    <row r="487" spans="6:7" x14ac:dyDescent="0.4">
      <c r="F487">
        <f t="shared" si="15"/>
        <v>0</v>
      </c>
      <c r="G487">
        <f t="shared" si="16"/>
        <v>0</v>
      </c>
    </row>
    <row r="488" spans="6:7" x14ac:dyDescent="0.4">
      <c r="F488">
        <f t="shared" si="15"/>
        <v>0</v>
      </c>
      <c r="G488">
        <f t="shared" si="16"/>
        <v>0</v>
      </c>
    </row>
    <row r="489" spans="6:7" x14ac:dyDescent="0.4">
      <c r="F489">
        <f t="shared" si="15"/>
        <v>0</v>
      </c>
      <c r="G489">
        <f t="shared" si="16"/>
        <v>0</v>
      </c>
    </row>
    <row r="490" spans="6:7" x14ac:dyDescent="0.4">
      <c r="F490">
        <f t="shared" si="15"/>
        <v>0</v>
      </c>
      <c r="G490">
        <f t="shared" si="16"/>
        <v>0</v>
      </c>
    </row>
    <row r="491" spans="6:7" x14ac:dyDescent="0.4">
      <c r="F491">
        <f t="shared" si="15"/>
        <v>0</v>
      </c>
      <c r="G491">
        <f t="shared" si="16"/>
        <v>0</v>
      </c>
    </row>
    <row r="492" spans="6:7" x14ac:dyDescent="0.4">
      <c r="F492">
        <f t="shared" si="15"/>
        <v>0</v>
      </c>
      <c r="G492">
        <f t="shared" si="16"/>
        <v>0</v>
      </c>
    </row>
    <row r="493" spans="6:7" x14ac:dyDescent="0.4">
      <c r="F493">
        <f t="shared" si="15"/>
        <v>0</v>
      </c>
      <c r="G493">
        <f t="shared" si="16"/>
        <v>0</v>
      </c>
    </row>
    <row r="494" spans="6:7" x14ac:dyDescent="0.4">
      <c r="F494">
        <f t="shared" si="15"/>
        <v>0</v>
      </c>
      <c r="G494">
        <f t="shared" si="16"/>
        <v>0</v>
      </c>
    </row>
    <row r="495" spans="6:7" x14ac:dyDescent="0.4">
      <c r="F495">
        <f t="shared" si="15"/>
        <v>0</v>
      </c>
      <c r="G495">
        <f t="shared" si="16"/>
        <v>0</v>
      </c>
    </row>
    <row r="496" spans="6:7" x14ac:dyDescent="0.4">
      <c r="F496">
        <f t="shared" si="15"/>
        <v>0</v>
      </c>
      <c r="G496">
        <f t="shared" si="16"/>
        <v>0</v>
      </c>
    </row>
    <row r="497" spans="6:7" x14ac:dyDescent="0.4">
      <c r="F497">
        <f t="shared" si="15"/>
        <v>0</v>
      </c>
      <c r="G497">
        <f t="shared" si="16"/>
        <v>0</v>
      </c>
    </row>
    <row r="498" spans="6:7" x14ac:dyDescent="0.4">
      <c r="F498">
        <f t="shared" si="15"/>
        <v>0</v>
      </c>
      <c r="G498">
        <f t="shared" si="16"/>
        <v>0</v>
      </c>
    </row>
    <row r="499" spans="6:7" x14ac:dyDescent="0.4">
      <c r="F499">
        <f t="shared" si="15"/>
        <v>0</v>
      </c>
      <c r="G499">
        <f t="shared" si="16"/>
        <v>0</v>
      </c>
    </row>
    <row r="500" spans="6:7" x14ac:dyDescent="0.4">
      <c r="F500">
        <f t="shared" si="15"/>
        <v>0</v>
      </c>
      <c r="G500">
        <f t="shared" si="16"/>
        <v>0</v>
      </c>
    </row>
    <row r="501" spans="6:7" x14ac:dyDescent="0.4">
      <c r="F501">
        <f t="shared" si="15"/>
        <v>0</v>
      </c>
      <c r="G501">
        <f t="shared" si="16"/>
        <v>0</v>
      </c>
    </row>
    <row r="502" spans="6:7" x14ac:dyDescent="0.4">
      <c r="F502">
        <f t="shared" si="15"/>
        <v>0</v>
      </c>
      <c r="G502">
        <f t="shared" si="16"/>
        <v>0</v>
      </c>
    </row>
    <row r="503" spans="6:7" x14ac:dyDescent="0.4">
      <c r="F503">
        <f t="shared" si="15"/>
        <v>0</v>
      </c>
      <c r="G503">
        <f t="shared" si="16"/>
        <v>0</v>
      </c>
    </row>
    <row r="504" spans="6:7" x14ac:dyDescent="0.4">
      <c r="F504">
        <f t="shared" si="15"/>
        <v>0</v>
      </c>
      <c r="G504">
        <f t="shared" si="16"/>
        <v>0</v>
      </c>
    </row>
    <row r="505" spans="6:7" x14ac:dyDescent="0.4">
      <c r="F505">
        <f t="shared" si="15"/>
        <v>0</v>
      </c>
      <c r="G505">
        <f t="shared" si="16"/>
        <v>0</v>
      </c>
    </row>
    <row r="506" spans="6:7" x14ac:dyDescent="0.4">
      <c r="F506">
        <f t="shared" si="15"/>
        <v>0</v>
      </c>
      <c r="G506">
        <f t="shared" si="16"/>
        <v>0</v>
      </c>
    </row>
    <row r="507" spans="6:7" x14ac:dyDescent="0.4">
      <c r="F507">
        <f t="shared" si="15"/>
        <v>0</v>
      </c>
      <c r="G507">
        <f t="shared" si="16"/>
        <v>0</v>
      </c>
    </row>
    <row r="508" spans="6:7" x14ac:dyDescent="0.4">
      <c r="F508">
        <f t="shared" si="15"/>
        <v>0</v>
      </c>
      <c r="G508">
        <f t="shared" si="16"/>
        <v>0</v>
      </c>
    </row>
    <row r="509" spans="6:7" x14ac:dyDescent="0.4">
      <c r="F509">
        <f t="shared" si="15"/>
        <v>0</v>
      </c>
      <c r="G509">
        <f t="shared" si="16"/>
        <v>0</v>
      </c>
    </row>
    <row r="510" spans="6:7" x14ac:dyDescent="0.4">
      <c r="F510">
        <f t="shared" si="15"/>
        <v>0</v>
      </c>
      <c r="G510">
        <f t="shared" si="16"/>
        <v>0</v>
      </c>
    </row>
    <row r="511" spans="6:7" x14ac:dyDescent="0.4">
      <c r="F511">
        <f t="shared" si="15"/>
        <v>0</v>
      </c>
      <c r="G511">
        <f t="shared" si="16"/>
        <v>0</v>
      </c>
    </row>
    <row r="512" spans="6:7" x14ac:dyDescent="0.4">
      <c r="F512">
        <f t="shared" si="15"/>
        <v>0</v>
      </c>
      <c r="G512">
        <f t="shared" si="16"/>
        <v>0</v>
      </c>
    </row>
    <row r="513" spans="6:7" x14ac:dyDescent="0.4">
      <c r="F513">
        <f t="shared" si="15"/>
        <v>0</v>
      </c>
      <c r="G513">
        <f t="shared" si="16"/>
        <v>0</v>
      </c>
    </row>
    <row r="514" spans="6:7" x14ac:dyDescent="0.4">
      <c r="F514">
        <f t="shared" si="15"/>
        <v>0</v>
      </c>
      <c r="G514">
        <f t="shared" si="16"/>
        <v>0</v>
      </c>
    </row>
    <row r="515" spans="6:7" x14ac:dyDescent="0.4">
      <c r="F515">
        <f t="shared" ref="F515:F578" si="17">E515*D515</f>
        <v>0</v>
      </c>
      <c r="G515">
        <f t="shared" ref="G515:G578" si="18">F515-(F515*0.3)</f>
        <v>0</v>
      </c>
    </row>
    <row r="516" spans="6:7" x14ac:dyDescent="0.4">
      <c r="F516">
        <f t="shared" si="17"/>
        <v>0</v>
      </c>
      <c r="G516">
        <f t="shared" si="18"/>
        <v>0</v>
      </c>
    </row>
    <row r="517" spans="6:7" x14ac:dyDescent="0.4">
      <c r="F517">
        <f t="shared" si="17"/>
        <v>0</v>
      </c>
      <c r="G517">
        <f t="shared" si="18"/>
        <v>0</v>
      </c>
    </row>
    <row r="518" spans="6:7" x14ac:dyDescent="0.4">
      <c r="F518">
        <f t="shared" si="17"/>
        <v>0</v>
      </c>
      <c r="G518">
        <f t="shared" si="18"/>
        <v>0</v>
      </c>
    </row>
    <row r="519" spans="6:7" x14ac:dyDescent="0.4">
      <c r="F519">
        <f t="shared" si="17"/>
        <v>0</v>
      </c>
      <c r="G519">
        <f t="shared" si="18"/>
        <v>0</v>
      </c>
    </row>
    <row r="520" spans="6:7" x14ac:dyDescent="0.4">
      <c r="F520">
        <f t="shared" si="17"/>
        <v>0</v>
      </c>
      <c r="G520">
        <f t="shared" si="18"/>
        <v>0</v>
      </c>
    </row>
    <row r="521" spans="6:7" x14ac:dyDescent="0.4">
      <c r="F521">
        <f t="shared" si="17"/>
        <v>0</v>
      </c>
      <c r="G521">
        <f t="shared" si="18"/>
        <v>0</v>
      </c>
    </row>
    <row r="522" spans="6:7" x14ac:dyDescent="0.4">
      <c r="F522">
        <f t="shared" si="17"/>
        <v>0</v>
      </c>
      <c r="G522">
        <f t="shared" si="18"/>
        <v>0</v>
      </c>
    </row>
    <row r="523" spans="6:7" x14ac:dyDescent="0.4">
      <c r="F523">
        <f t="shared" si="17"/>
        <v>0</v>
      </c>
      <c r="G523">
        <f t="shared" si="18"/>
        <v>0</v>
      </c>
    </row>
    <row r="524" spans="6:7" x14ac:dyDescent="0.4">
      <c r="F524">
        <f t="shared" si="17"/>
        <v>0</v>
      </c>
      <c r="G524">
        <f t="shared" si="18"/>
        <v>0</v>
      </c>
    </row>
    <row r="525" spans="6:7" x14ac:dyDescent="0.4">
      <c r="F525">
        <f t="shared" si="17"/>
        <v>0</v>
      </c>
      <c r="G525">
        <f t="shared" si="18"/>
        <v>0</v>
      </c>
    </row>
    <row r="526" spans="6:7" x14ac:dyDescent="0.4">
      <c r="F526">
        <f t="shared" si="17"/>
        <v>0</v>
      </c>
      <c r="G526">
        <f t="shared" si="18"/>
        <v>0</v>
      </c>
    </row>
    <row r="527" spans="6:7" x14ac:dyDescent="0.4">
      <c r="F527">
        <f t="shared" si="17"/>
        <v>0</v>
      </c>
      <c r="G527">
        <f t="shared" si="18"/>
        <v>0</v>
      </c>
    </row>
    <row r="528" spans="6:7" x14ac:dyDescent="0.4">
      <c r="F528">
        <f t="shared" si="17"/>
        <v>0</v>
      </c>
      <c r="G528">
        <f t="shared" si="18"/>
        <v>0</v>
      </c>
    </row>
    <row r="529" spans="6:7" x14ac:dyDescent="0.4">
      <c r="F529">
        <f t="shared" si="17"/>
        <v>0</v>
      </c>
      <c r="G529">
        <f t="shared" si="18"/>
        <v>0</v>
      </c>
    </row>
    <row r="530" spans="6:7" x14ac:dyDescent="0.4">
      <c r="F530">
        <f t="shared" si="17"/>
        <v>0</v>
      </c>
      <c r="G530">
        <f t="shared" si="18"/>
        <v>0</v>
      </c>
    </row>
    <row r="531" spans="6:7" x14ac:dyDescent="0.4">
      <c r="F531">
        <f t="shared" si="17"/>
        <v>0</v>
      </c>
      <c r="G531">
        <f t="shared" si="18"/>
        <v>0</v>
      </c>
    </row>
    <row r="532" spans="6:7" x14ac:dyDescent="0.4">
      <c r="F532">
        <f t="shared" si="17"/>
        <v>0</v>
      </c>
      <c r="G532">
        <f t="shared" si="18"/>
        <v>0</v>
      </c>
    </row>
    <row r="533" spans="6:7" x14ac:dyDescent="0.4">
      <c r="F533">
        <f t="shared" si="17"/>
        <v>0</v>
      </c>
      <c r="G533">
        <f t="shared" si="18"/>
        <v>0</v>
      </c>
    </row>
    <row r="534" spans="6:7" x14ac:dyDescent="0.4">
      <c r="F534">
        <f t="shared" si="17"/>
        <v>0</v>
      </c>
      <c r="G534">
        <f t="shared" si="18"/>
        <v>0</v>
      </c>
    </row>
    <row r="535" spans="6:7" x14ac:dyDescent="0.4">
      <c r="F535">
        <f t="shared" si="17"/>
        <v>0</v>
      </c>
      <c r="G535">
        <f t="shared" si="18"/>
        <v>0</v>
      </c>
    </row>
    <row r="536" spans="6:7" x14ac:dyDescent="0.4">
      <c r="F536">
        <f t="shared" si="17"/>
        <v>0</v>
      </c>
      <c r="G536">
        <f t="shared" si="18"/>
        <v>0</v>
      </c>
    </row>
    <row r="537" spans="6:7" x14ac:dyDescent="0.4">
      <c r="F537">
        <f t="shared" si="17"/>
        <v>0</v>
      </c>
      <c r="G537">
        <f t="shared" si="18"/>
        <v>0</v>
      </c>
    </row>
    <row r="538" spans="6:7" x14ac:dyDescent="0.4">
      <c r="F538">
        <f t="shared" si="17"/>
        <v>0</v>
      </c>
      <c r="G538">
        <f t="shared" si="18"/>
        <v>0</v>
      </c>
    </row>
    <row r="539" spans="6:7" x14ac:dyDescent="0.4">
      <c r="F539">
        <f t="shared" si="17"/>
        <v>0</v>
      </c>
      <c r="G539">
        <f t="shared" si="18"/>
        <v>0</v>
      </c>
    </row>
    <row r="540" spans="6:7" x14ac:dyDescent="0.4">
      <c r="F540">
        <f t="shared" si="17"/>
        <v>0</v>
      </c>
      <c r="G540">
        <f t="shared" si="18"/>
        <v>0</v>
      </c>
    </row>
    <row r="541" spans="6:7" x14ac:dyDescent="0.4">
      <c r="F541">
        <f t="shared" si="17"/>
        <v>0</v>
      </c>
      <c r="G541">
        <f t="shared" si="18"/>
        <v>0</v>
      </c>
    </row>
    <row r="542" spans="6:7" x14ac:dyDescent="0.4">
      <c r="F542">
        <f t="shared" si="17"/>
        <v>0</v>
      </c>
      <c r="G542">
        <f t="shared" si="18"/>
        <v>0</v>
      </c>
    </row>
    <row r="543" spans="6:7" x14ac:dyDescent="0.4">
      <c r="F543">
        <f t="shared" si="17"/>
        <v>0</v>
      </c>
      <c r="G543">
        <f t="shared" si="18"/>
        <v>0</v>
      </c>
    </row>
    <row r="544" spans="6:7" x14ac:dyDescent="0.4">
      <c r="F544">
        <f t="shared" si="17"/>
        <v>0</v>
      </c>
      <c r="G544">
        <f t="shared" si="18"/>
        <v>0</v>
      </c>
    </row>
    <row r="545" spans="6:7" x14ac:dyDescent="0.4">
      <c r="F545">
        <f t="shared" si="17"/>
        <v>0</v>
      </c>
      <c r="G545">
        <f t="shared" si="18"/>
        <v>0</v>
      </c>
    </row>
    <row r="546" spans="6:7" x14ac:dyDescent="0.4">
      <c r="F546">
        <f t="shared" si="17"/>
        <v>0</v>
      </c>
      <c r="G546">
        <f t="shared" si="18"/>
        <v>0</v>
      </c>
    </row>
    <row r="547" spans="6:7" x14ac:dyDescent="0.4">
      <c r="F547">
        <f t="shared" si="17"/>
        <v>0</v>
      </c>
      <c r="G547">
        <f t="shared" si="18"/>
        <v>0</v>
      </c>
    </row>
    <row r="548" spans="6:7" x14ac:dyDescent="0.4">
      <c r="F548">
        <f t="shared" si="17"/>
        <v>0</v>
      </c>
      <c r="G548">
        <f t="shared" si="18"/>
        <v>0</v>
      </c>
    </row>
    <row r="549" spans="6:7" x14ac:dyDescent="0.4">
      <c r="F549">
        <f t="shared" si="17"/>
        <v>0</v>
      </c>
      <c r="G549">
        <f t="shared" si="18"/>
        <v>0</v>
      </c>
    </row>
    <row r="550" spans="6:7" x14ac:dyDescent="0.4">
      <c r="F550">
        <f t="shared" si="17"/>
        <v>0</v>
      </c>
      <c r="G550">
        <f t="shared" si="18"/>
        <v>0</v>
      </c>
    </row>
    <row r="551" spans="6:7" x14ac:dyDescent="0.4">
      <c r="F551">
        <f t="shared" si="17"/>
        <v>0</v>
      </c>
      <c r="G551">
        <f t="shared" si="18"/>
        <v>0</v>
      </c>
    </row>
    <row r="552" spans="6:7" x14ac:dyDescent="0.4">
      <c r="F552">
        <f t="shared" si="17"/>
        <v>0</v>
      </c>
      <c r="G552">
        <f t="shared" si="18"/>
        <v>0</v>
      </c>
    </row>
    <row r="553" spans="6:7" x14ac:dyDescent="0.4">
      <c r="F553">
        <f t="shared" si="17"/>
        <v>0</v>
      </c>
      <c r="G553">
        <f t="shared" si="18"/>
        <v>0</v>
      </c>
    </row>
    <row r="554" spans="6:7" x14ac:dyDescent="0.4">
      <c r="F554">
        <f t="shared" si="17"/>
        <v>0</v>
      </c>
      <c r="G554">
        <f t="shared" si="18"/>
        <v>0</v>
      </c>
    </row>
    <row r="555" spans="6:7" x14ac:dyDescent="0.4">
      <c r="F555">
        <f t="shared" si="17"/>
        <v>0</v>
      </c>
      <c r="G555">
        <f t="shared" si="18"/>
        <v>0</v>
      </c>
    </row>
    <row r="556" spans="6:7" x14ac:dyDescent="0.4">
      <c r="F556">
        <f t="shared" si="17"/>
        <v>0</v>
      </c>
      <c r="G556">
        <f t="shared" si="18"/>
        <v>0</v>
      </c>
    </row>
    <row r="557" spans="6:7" x14ac:dyDescent="0.4">
      <c r="F557">
        <f t="shared" si="17"/>
        <v>0</v>
      </c>
      <c r="G557">
        <f t="shared" si="18"/>
        <v>0</v>
      </c>
    </row>
    <row r="558" spans="6:7" x14ac:dyDescent="0.4">
      <c r="F558">
        <f t="shared" si="17"/>
        <v>0</v>
      </c>
      <c r="G558">
        <f t="shared" si="18"/>
        <v>0</v>
      </c>
    </row>
    <row r="559" spans="6:7" x14ac:dyDescent="0.4">
      <c r="F559">
        <f t="shared" si="17"/>
        <v>0</v>
      </c>
      <c r="G559">
        <f t="shared" si="18"/>
        <v>0</v>
      </c>
    </row>
    <row r="560" spans="6:7" x14ac:dyDescent="0.4">
      <c r="F560">
        <f t="shared" si="17"/>
        <v>0</v>
      </c>
      <c r="G560">
        <f t="shared" si="18"/>
        <v>0</v>
      </c>
    </row>
    <row r="561" spans="6:7" x14ac:dyDescent="0.4">
      <c r="F561">
        <f t="shared" si="17"/>
        <v>0</v>
      </c>
      <c r="G561">
        <f t="shared" si="18"/>
        <v>0</v>
      </c>
    </row>
    <row r="562" spans="6:7" x14ac:dyDescent="0.4">
      <c r="F562">
        <f t="shared" si="17"/>
        <v>0</v>
      </c>
      <c r="G562">
        <f t="shared" si="18"/>
        <v>0</v>
      </c>
    </row>
    <row r="563" spans="6:7" x14ac:dyDescent="0.4">
      <c r="F563">
        <f t="shared" si="17"/>
        <v>0</v>
      </c>
      <c r="G563">
        <f t="shared" si="18"/>
        <v>0</v>
      </c>
    </row>
    <row r="564" spans="6:7" x14ac:dyDescent="0.4">
      <c r="F564">
        <f t="shared" si="17"/>
        <v>0</v>
      </c>
      <c r="G564">
        <f t="shared" si="18"/>
        <v>0</v>
      </c>
    </row>
    <row r="565" spans="6:7" x14ac:dyDescent="0.4">
      <c r="F565">
        <f t="shared" si="17"/>
        <v>0</v>
      </c>
      <c r="G565">
        <f t="shared" si="18"/>
        <v>0</v>
      </c>
    </row>
    <row r="566" spans="6:7" x14ac:dyDescent="0.4">
      <c r="F566">
        <f t="shared" si="17"/>
        <v>0</v>
      </c>
      <c r="G566">
        <f t="shared" si="18"/>
        <v>0</v>
      </c>
    </row>
    <row r="567" spans="6:7" x14ac:dyDescent="0.4">
      <c r="F567">
        <f t="shared" si="17"/>
        <v>0</v>
      </c>
      <c r="G567">
        <f t="shared" si="18"/>
        <v>0</v>
      </c>
    </row>
    <row r="568" spans="6:7" x14ac:dyDescent="0.4">
      <c r="F568">
        <f t="shared" si="17"/>
        <v>0</v>
      </c>
      <c r="G568">
        <f t="shared" si="18"/>
        <v>0</v>
      </c>
    </row>
    <row r="569" spans="6:7" x14ac:dyDescent="0.4">
      <c r="F569">
        <f t="shared" si="17"/>
        <v>0</v>
      </c>
      <c r="G569">
        <f t="shared" si="18"/>
        <v>0</v>
      </c>
    </row>
    <row r="570" spans="6:7" x14ac:dyDescent="0.4">
      <c r="F570">
        <f t="shared" si="17"/>
        <v>0</v>
      </c>
      <c r="G570">
        <f t="shared" si="18"/>
        <v>0</v>
      </c>
    </row>
    <row r="571" spans="6:7" x14ac:dyDescent="0.4">
      <c r="F571">
        <f t="shared" si="17"/>
        <v>0</v>
      </c>
      <c r="G571">
        <f t="shared" si="18"/>
        <v>0</v>
      </c>
    </row>
    <row r="572" spans="6:7" x14ac:dyDescent="0.4">
      <c r="F572">
        <f t="shared" si="17"/>
        <v>0</v>
      </c>
      <c r="G572">
        <f t="shared" si="18"/>
        <v>0</v>
      </c>
    </row>
    <row r="573" spans="6:7" x14ac:dyDescent="0.4">
      <c r="F573">
        <f t="shared" si="17"/>
        <v>0</v>
      </c>
      <c r="G573">
        <f t="shared" si="18"/>
        <v>0</v>
      </c>
    </row>
    <row r="574" spans="6:7" x14ac:dyDescent="0.4">
      <c r="F574">
        <f t="shared" si="17"/>
        <v>0</v>
      </c>
      <c r="G574">
        <f t="shared" si="18"/>
        <v>0</v>
      </c>
    </row>
    <row r="575" spans="6:7" x14ac:dyDescent="0.4">
      <c r="F575">
        <f t="shared" si="17"/>
        <v>0</v>
      </c>
      <c r="G575">
        <f t="shared" si="18"/>
        <v>0</v>
      </c>
    </row>
    <row r="576" spans="6:7" x14ac:dyDescent="0.4">
      <c r="F576">
        <f t="shared" si="17"/>
        <v>0</v>
      </c>
      <c r="G576">
        <f t="shared" si="18"/>
        <v>0</v>
      </c>
    </row>
    <row r="577" spans="6:7" x14ac:dyDescent="0.4">
      <c r="F577">
        <f t="shared" si="17"/>
        <v>0</v>
      </c>
      <c r="G577">
        <f t="shared" si="18"/>
        <v>0</v>
      </c>
    </row>
    <row r="578" spans="6:7" x14ac:dyDescent="0.4">
      <c r="F578">
        <f t="shared" si="17"/>
        <v>0</v>
      </c>
      <c r="G578">
        <f t="shared" si="18"/>
        <v>0</v>
      </c>
    </row>
    <row r="579" spans="6:7" x14ac:dyDescent="0.4">
      <c r="F579">
        <f t="shared" ref="F579:F642" si="19">E579*D579</f>
        <v>0</v>
      </c>
      <c r="G579">
        <f t="shared" ref="G579:G642" si="20">F579-(F579*0.3)</f>
        <v>0</v>
      </c>
    </row>
    <row r="580" spans="6:7" x14ac:dyDescent="0.4">
      <c r="F580">
        <f t="shared" si="19"/>
        <v>0</v>
      </c>
      <c r="G580">
        <f t="shared" si="20"/>
        <v>0</v>
      </c>
    </row>
    <row r="581" spans="6:7" x14ac:dyDescent="0.4">
      <c r="F581">
        <f t="shared" si="19"/>
        <v>0</v>
      </c>
      <c r="G581">
        <f t="shared" si="20"/>
        <v>0</v>
      </c>
    </row>
    <row r="582" spans="6:7" x14ac:dyDescent="0.4">
      <c r="F582">
        <f t="shared" si="19"/>
        <v>0</v>
      </c>
      <c r="G582">
        <f t="shared" si="20"/>
        <v>0</v>
      </c>
    </row>
    <row r="583" spans="6:7" x14ac:dyDescent="0.4">
      <c r="F583">
        <f t="shared" si="19"/>
        <v>0</v>
      </c>
      <c r="G583">
        <f t="shared" si="20"/>
        <v>0</v>
      </c>
    </row>
    <row r="584" spans="6:7" x14ac:dyDescent="0.4">
      <c r="F584">
        <f t="shared" si="19"/>
        <v>0</v>
      </c>
      <c r="G584">
        <f t="shared" si="20"/>
        <v>0</v>
      </c>
    </row>
    <row r="585" spans="6:7" x14ac:dyDescent="0.4">
      <c r="F585">
        <f t="shared" si="19"/>
        <v>0</v>
      </c>
      <c r="G585">
        <f t="shared" si="20"/>
        <v>0</v>
      </c>
    </row>
    <row r="586" spans="6:7" x14ac:dyDescent="0.4">
      <c r="F586">
        <f t="shared" si="19"/>
        <v>0</v>
      </c>
      <c r="G586">
        <f t="shared" si="20"/>
        <v>0</v>
      </c>
    </row>
    <row r="587" spans="6:7" x14ac:dyDescent="0.4">
      <c r="F587">
        <f t="shared" si="19"/>
        <v>0</v>
      </c>
      <c r="G587">
        <f t="shared" si="20"/>
        <v>0</v>
      </c>
    </row>
    <row r="588" spans="6:7" x14ac:dyDescent="0.4">
      <c r="F588">
        <f t="shared" si="19"/>
        <v>0</v>
      </c>
      <c r="G588">
        <f t="shared" si="20"/>
        <v>0</v>
      </c>
    </row>
    <row r="589" spans="6:7" x14ac:dyDescent="0.4">
      <c r="F589">
        <f t="shared" si="19"/>
        <v>0</v>
      </c>
      <c r="G589">
        <f t="shared" si="20"/>
        <v>0</v>
      </c>
    </row>
    <row r="590" spans="6:7" x14ac:dyDescent="0.4">
      <c r="F590">
        <f t="shared" si="19"/>
        <v>0</v>
      </c>
      <c r="G590">
        <f t="shared" si="20"/>
        <v>0</v>
      </c>
    </row>
    <row r="591" spans="6:7" x14ac:dyDescent="0.4">
      <c r="F591">
        <f t="shared" si="19"/>
        <v>0</v>
      </c>
      <c r="G591">
        <f t="shared" si="20"/>
        <v>0</v>
      </c>
    </row>
    <row r="592" spans="6:7" x14ac:dyDescent="0.4">
      <c r="F592">
        <f t="shared" si="19"/>
        <v>0</v>
      </c>
      <c r="G592">
        <f t="shared" si="20"/>
        <v>0</v>
      </c>
    </row>
    <row r="593" spans="6:7" x14ac:dyDescent="0.4">
      <c r="F593">
        <f t="shared" si="19"/>
        <v>0</v>
      </c>
      <c r="G593">
        <f t="shared" si="20"/>
        <v>0</v>
      </c>
    </row>
    <row r="594" spans="6:7" x14ac:dyDescent="0.4">
      <c r="F594">
        <f t="shared" si="19"/>
        <v>0</v>
      </c>
      <c r="G594">
        <f t="shared" si="20"/>
        <v>0</v>
      </c>
    </row>
    <row r="595" spans="6:7" x14ac:dyDescent="0.4">
      <c r="F595">
        <f t="shared" si="19"/>
        <v>0</v>
      </c>
      <c r="G595">
        <f t="shared" si="20"/>
        <v>0</v>
      </c>
    </row>
    <row r="596" spans="6:7" x14ac:dyDescent="0.4">
      <c r="F596">
        <f t="shared" si="19"/>
        <v>0</v>
      </c>
      <c r="G596">
        <f t="shared" si="20"/>
        <v>0</v>
      </c>
    </row>
    <row r="597" spans="6:7" x14ac:dyDescent="0.4">
      <c r="F597">
        <f t="shared" si="19"/>
        <v>0</v>
      </c>
      <c r="G597">
        <f t="shared" si="20"/>
        <v>0</v>
      </c>
    </row>
    <row r="598" spans="6:7" x14ac:dyDescent="0.4">
      <c r="F598">
        <f t="shared" si="19"/>
        <v>0</v>
      </c>
      <c r="G598">
        <f t="shared" si="20"/>
        <v>0</v>
      </c>
    </row>
    <row r="599" spans="6:7" x14ac:dyDescent="0.4">
      <c r="F599">
        <f t="shared" si="19"/>
        <v>0</v>
      </c>
      <c r="G599">
        <f t="shared" si="20"/>
        <v>0</v>
      </c>
    </row>
    <row r="600" spans="6:7" x14ac:dyDescent="0.4">
      <c r="F600">
        <f t="shared" si="19"/>
        <v>0</v>
      </c>
      <c r="G600">
        <f t="shared" si="20"/>
        <v>0</v>
      </c>
    </row>
    <row r="601" spans="6:7" x14ac:dyDescent="0.4">
      <c r="F601">
        <f t="shared" si="19"/>
        <v>0</v>
      </c>
      <c r="G601">
        <f t="shared" si="20"/>
        <v>0</v>
      </c>
    </row>
    <row r="602" spans="6:7" x14ac:dyDescent="0.4">
      <c r="F602">
        <f t="shared" si="19"/>
        <v>0</v>
      </c>
      <c r="G602">
        <f t="shared" si="20"/>
        <v>0</v>
      </c>
    </row>
    <row r="603" spans="6:7" x14ac:dyDescent="0.4">
      <c r="F603">
        <f t="shared" si="19"/>
        <v>0</v>
      </c>
      <c r="G603">
        <f t="shared" si="20"/>
        <v>0</v>
      </c>
    </row>
    <row r="604" spans="6:7" x14ac:dyDescent="0.4">
      <c r="F604">
        <f t="shared" si="19"/>
        <v>0</v>
      </c>
      <c r="G604">
        <f t="shared" si="20"/>
        <v>0</v>
      </c>
    </row>
    <row r="605" spans="6:7" x14ac:dyDescent="0.4">
      <c r="F605">
        <f t="shared" si="19"/>
        <v>0</v>
      </c>
      <c r="G605">
        <f t="shared" si="20"/>
        <v>0</v>
      </c>
    </row>
    <row r="606" spans="6:7" x14ac:dyDescent="0.4">
      <c r="F606">
        <f t="shared" si="19"/>
        <v>0</v>
      </c>
      <c r="G606">
        <f t="shared" si="20"/>
        <v>0</v>
      </c>
    </row>
    <row r="607" spans="6:7" x14ac:dyDescent="0.4">
      <c r="F607">
        <f t="shared" si="19"/>
        <v>0</v>
      </c>
      <c r="G607">
        <f t="shared" si="20"/>
        <v>0</v>
      </c>
    </row>
    <row r="608" spans="6:7" x14ac:dyDescent="0.4">
      <c r="F608">
        <f t="shared" si="19"/>
        <v>0</v>
      </c>
      <c r="G608">
        <f t="shared" si="20"/>
        <v>0</v>
      </c>
    </row>
    <row r="609" spans="6:7" x14ac:dyDescent="0.4">
      <c r="F609">
        <f t="shared" si="19"/>
        <v>0</v>
      </c>
      <c r="G609">
        <f t="shared" si="20"/>
        <v>0</v>
      </c>
    </row>
    <row r="610" spans="6:7" x14ac:dyDescent="0.4">
      <c r="F610">
        <f t="shared" si="19"/>
        <v>0</v>
      </c>
      <c r="G610">
        <f t="shared" si="20"/>
        <v>0</v>
      </c>
    </row>
    <row r="611" spans="6:7" x14ac:dyDescent="0.4">
      <c r="F611">
        <f t="shared" si="19"/>
        <v>0</v>
      </c>
      <c r="G611">
        <f t="shared" si="20"/>
        <v>0</v>
      </c>
    </row>
    <row r="612" spans="6:7" x14ac:dyDescent="0.4">
      <c r="F612">
        <f t="shared" si="19"/>
        <v>0</v>
      </c>
      <c r="G612">
        <f t="shared" si="20"/>
        <v>0</v>
      </c>
    </row>
    <row r="613" spans="6:7" x14ac:dyDescent="0.4">
      <c r="F613">
        <f t="shared" si="19"/>
        <v>0</v>
      </c>
      <c r="G613">
        <f t="shared" si="20"/>
        <v>0</v>
      </c>
    </row>
    <row r="614" spans="6:7" x14ac:dyDescent="0.4">
      <c r="F614">
        <f t="shared" si="19"/>
        <v>0</v>
      </c>
      <c r="G614">
        <f t="shared" si="20"/>
        <v>0</v>
      </c>
    </row>
    <row r="615" spans="6:7" x14ac:dyDescent="0.4">
      <c r="F615">
        <f t="shared" si="19"/>
        <v>0</v>
      </c>
      <c r="G615">
        <f t="shared" si="20"/>
        <v>0</v>
      </c>
    </row>
    <row r="616" spans="6:7" x14ac:dyDescent="0.4">
      <c r="F616">
        <f t="shared" si="19"/>
        <v>0</v>
      </c>
      <c r="G616">
        <f t="shared" si="20"/>
        <v>0</v>
      </c>
    </row>
    <row r="617" spans="6:7" x14ac:dyDescent="0.4">
      <c r="F617">
        <f t="shared" si="19"/>
        <v>0</v>
      </c>
      <c r="G617">
        <f t="shared" si="20"/>
        <v>0</v>
      </c>
    </row>
    <row r="618" spans="6:7" x14ac:dyDescent="0.4">
      <c r="F618">
        <f t="shared" si="19"/>
        <v>0</v>
      </c>
      <c r="G618">
        <f t="shared" si="20"/>
        <v>0</v>
      </c>
    </row>
    <row r="619" spans="6:7" x14ac:dyDescent="0.4">
      <c r="F619">
        <f t="shared" si="19"/>
        <v>0</v>
      </c>
      <c r="G619">
        <f t="shared" si="20"/>
        <v>0</v>
      </c>
    </row>
    <row r="620" spans="6:7" x14ac:dyDescent="0.4">
      <c r="F620">
        <f t="shared" si="19"/>
        <v>0</v>
      </c>
      <c r="G620">
        <f t="shared" si="20"/>
        <v>0</v>
      </c>
    </row>
    <row r="621" spans="6:7" x14ac:dyDescent="0.4">
      <c r="F621">
        <f t="shared" si="19"/>
        <v>0</v>
      </c>
      <c r="G621">
        <f t="shared" si="20"/>
        <v>0</v>
      </c>
    </row>
    <row r="622" spans="6:7" x14ac:dyDescent="0.4">
      <c r="F622">
        <f t="shared" si="19"/>
        <v>0</v>
      </c>
      <c r="G622">
        <f t="shared" si="20"/>
        <v>0</v>
      </c>
    </row>
    <row r="623" spans="6:7" x14ac:dyDescent="0.4">
      <c r="F623">
        <f t="shared" si="19"/>
        <v>0</v>
      </c>
      <c r="G623">
        <f t="shared" si="20"/>
        <v>0</v>
      </c>
    </row>
    <row r="624" spans="6:7" x14ac:dyDescent="0.4">
      <c r="F624">
        <f t="shared" si="19"/>
        <v>0</v>
      </c>
      <c r="G624">
        <f t="shared" si="20"/>
        <v>0</v>
      </c>
    </row>
    <row r="625" spans="6:7" x14ac:dyDescent="0.4">
      <c r="F625">
        <f t="shared" si="19"/>
        <v>0</v>
      </c>
      <c r="G625">
        <f t="shared" si="20"/>
        <v>0</v>
      </c>
    </row>
    <row r="626" spans="6:7" x14ac:dyDescent="0.4">
      <c r="F626">
        <f t="shared" si="19"/>
        <v>0</v>
      </c>
      <c r="G626">
        <f t="shared" si="20"/>
        <v>0</v>
      </c>
    </row>
    <row r="627" spans="6:7" x14ac:dyDescent="0.4">
      <c r="F627">
        <f t="shared" si="19"/>
        <v>0</v>
      </c>
      <c r="G627">
        <f t="shared" si="20"/>
        <v>0</v>
      </c>
    </row>
    <row r="628" spans="6:7" x14ac:dyDescent="0.4">
      <c r="F628">
        <f t="shared" si="19"/>
        <v>0</v>
      </c>
      <c r="G628">
        <f t="shared" si="20"/>
        <v>0</v>
      </c>
    </row>
    <row r="629" spans="6:7" x14ac:dyDescent="0.4">
      <c r="F629">
        <f t="shared" si="19"/>
        <v>0</v>
      </c>
      <c r="G629">
        <f t="shared" si="20"/>
        <v>0</v>
      </c>
    </row>
    <row r="630" spans="6:7" x14ac:dyDescent="0.4">
      <c r="F630">
        <f t="shared" si="19"/>
        <v>0</v>
      </c>
      <c r="G630">
        <f t="shared" si="20"/>
        <v>0</v>
      </c>
    </row>
    <row r="631" spans="6:7" x14ac:dyDescent="0.4">
      <c r="F631">
        <f t="shared" si="19"/>
        <v>0</v>
      </c>
      <c r="G631">
        <f t="shared" si="20"/>
        <v>0</v>
      </c>
    </row>
    <row r="632" spans="6:7" x14ac:dyDescent="0.4">
      <c r="F632">
        <f t="shared" si="19"/>
        <v>0</v>
      </c>
      <c r="G632">
        <f t="shared" si="20"/>
        <v>0</v>
      </c>
    </row>
    <row r="633" spans="6:7" x14ac:dyDescent="0.4">
      <c r="F633">
        <f t="shared" si="19"/>
        <v>0</v>
      </c>
      <c r="G633">
        <f t="shared" si="20"/>
        <v>0</v>
      </c>
    </row>
    <row r="634" spans="6:7" x14ac:dyDescent="0.4">
      <c r="F634">
        <f t="shared" si="19"/>
        <v>0</v>
      </c>
      <c r="G634">
        <f t="shared" si="20"/>
        <v>0</v>
      </c>
    </row>
    <row r="635" spans="6:7" x14ac:dyDescent="0.4">
      <c r="F635">
        <f t="shared" si="19"/>
        <v>0</v>
      </c>
      <c r="G635">
        <f t="shared" si="20"/>
        <v>0</v>
      </c>
    </row>
    <row r="636" spans="6:7" x14ac:dyDescent="0.4">
      <c r="F636">
        <f t="shared" si="19"/>
        <v>0</v>
      </c>
      <c r="G636">
        <f t="shared" si="20"/>
        <v>0</v>
      </c>
    </row>
    <row r="637" spans="6:7" x14ac:dyDescent="0.4">
      <c r="F637">
        <f t="shared" si="19"/>
        <v>0</v>
      </c>
      <c r="G637">
        <f t="shared" si="20"/>
        <v>0</v>
      </c>
    </row>
    <row r="638" spans="6:7" x14ac:dyDescent="0.4">
      <c r="F638">
        <f t="shared" si="19"/>
        <v>0</v>
      </c>
      <c r="G638">
        <f t="shared" si="20"/>
        <v>0</v>
      </c>
    </row>
    <row r="639" spans="6:7" x14ac:dyDescent="0.4">
      <c r="F639">
        <f t="shared" si="19"/>
        <v>0</v>
      </c>
      <c r="G639">
        <f t="shared" si="20"/>
        <v>0</v>
      </c>
    </row>
    <row r="640" spans="6:7" x14ac:dyDescent="0.4">
      <c r="F640">
        <f t="shared" si="19"/>
        <v>0</v>
      </c>
      <c r="G640">
        <f t="shared" si="20"/>
        <v>0</v>
      </c>
    </row>
    <row r="641" spans="6:7" x14ac:dyDescent="0.4">
      <c r="F641">
        <f t="shared" si="19"/>
        <v>0</v>
      </c>
      <c r="G641">
        <f t="shared" si="20"/>
        <v>0</v>
      </c>
    </row>
    <row r="642" spans="6:7" x14ac:dyDescent="0.4">
      <c r="F642">
        <f t="shared" si="19"/>
        <v>0</v>
      </c>
      <c r="G642">
        <f t="shared" si="20"/>
        <v>0</v>
      </c>
    </row>
    <row r="643" spans="6:7" x14ac:dyDescent="0.4">
      <c r="F643">
        <f t="shared" ref="F643:F706" si="21">E643*D643</f>
        <v>0</v>
      </c>
      <c r="G643">
        <f t="shared" ref="G643:G706" si="22">F643-(F643*0.3)</f>
        <v>0</v>
      </c>
    </row>
    <row r="644" spans="6:7" x14ac:dyDescent="0.4">
      <c r="F644">
        <f t="shared" si="21"/>
        <v>0</v>
      </c>
      <c r="G644">
        <f t="shared" si="22"/>
        <v>0</v>
      </c>
    </row>
    <row r="645" spans="6:7" x14ac:dyDescent="0.4">
      <c r="F645">
        <f t="shared" si="21"/>
        <v>0</v>
      </c>
      <c r="G645">
        <f t="shared" si="22"/>
        <v>0</v>
      </c>
    </row>
    <row r="646" spans="6:7" x14ac:dyDescent="0.4">
      <c r="F646">
        <f t="shared" si="21"/>
        <v>0</v>
      </c>
      <c r="G646">
        <f t="shared" si="22"/>
        <v>0</v>
      </c>
    </row>
    <row r="647" spans="6:7" x14ac:dyDescent="0.4">
      <c r="F647">
        <f t="shared" si="21"/>
        <v>0</v>
      </c>
      <c r="G647">
        <f t="shared" si="22"/>
        <v>0</v>
      </c>
    </row>
    <row r="648" spans="6:7" x14ac:dyDescent="0.4">
      <c r="F648">
        <f t="shared" si="21"/>
        <v>0</v>
      </c>
      <c r="G648">
        <f t="shared" si="22"/>
        <v>0</v>
      </c>
    </row>
    <row r="649" spans="6:7" x14ac:dyDescent="0.4">
      <c r="F649">
        <f t="shared" si="21"/>
        <v>0</v>
      </c>
      <c r="G649">
        <f t="shared" si="22"/>
        <v>0</v>
      </c>
    </row>
    <row r="650" spans="6:7" x14ac:dyDescent="0.4">
      <c r="F650">
        <f t="shared" si="21"/>
        <v>0</v>
      </c>
      <c r="G650">
        <f t="shared" si="22"/>
        <v>0</v>
      </c>
    </row>
    <row r="651" spans="6:7" x14ac:dyDescent="0.4">
      <c r="F651">
        <f t="shared" si="21"/>
        <v>0</v>
      </c>
      <c r="G651">
        <f t="shared" si="22"/>
        <v>0</v>
      </c>
    </row>
    <row r="652" spans="6:7" x14ac:dyDescent="0.4">
      <c r="F652">
        <f t="shared" si="21"/>
        <v>0</v>
      </c>
      <c r="G652">
        <f t="shared" si="22"/>
        <v>0</v>
      </c>
    </row>
    <row r="653" spans="6:7" x14ac:dyDescent="0.4">
      <c r="F653">
        <f t="shared" si="21"/>
        <v>0</v>
      </c>
      <c r="G653">
        <f t="shared" si="22"/>
        <v>0</v>
      </c>
    </row>
    <row r="654" spans="6:7" x14ac:dyDescent="0.4">
      <c r="F654">
        <f t="shared" si="21"/>
        <v>0</v>
      </c>
      <c r="G654">
        <f t="shared" si="22"/>
        <v>0</v>
      </c>
    </row>
    <row r="655" spans="6:7" x14ac:dyDescent="0.4">
      <c r="F655">
        <f t="shared" si="21"/>
        <v>0</v>
      </c>
      <c r="G655">
        <f t="shared" si="22"/>
        <v>0</v>
      </c>
    </row>
    <row r="656" spans="6:7" x14ac:dyDescent="0.4">
      <c r="F656">
        <f t="shared" si="21"/>
        <v>0</v>
      </c>
      <c r="G656">
        <f t="shared" si="22"/>
        <v>0</v>
      </c>
    </row>
    <row r="657" spans="6:7" x14ac:dyDescent="0.4">
      <c r="F657">
        <f t="shared" si="21"/>
        <v>0</v>
      </c>
      <c r="G657">
        <f t="shared" si="22"/>
        <v>0</v>
      </c>
    </row>
    <row r="658" spans="6:7" x14ac:dyDescent="0.4">
      <c r="F658">
        <f t="shared" si="21"/>
        <v>0</v>
      </c>
      <c r="G658">
        <f t="shared" si="22"/>
        <v>0</v>
      </c>
    </row>
    <row r="659" spans="6:7" x14ac:dyDescent="0.4">
      <c r="F659">
        <f t="shared" si="21"/>
        <v>0</v>
      </c>
      <c r="G659">
        <f t="shared" si="22"/>
        <v>0</v>
      </c>
    </row>
    <row r="660" spans="6:7" x14ac:dyDescent="0.4">
      <c r="F660">
        <f t="shared" si="21"/>
        <v>0</v>
      </c>
      <c r="G660">
        <f t="shared" si="22"/>
        <v>0</v>
      </c>
    </row>
    <row r="661" spans="6:7" x14ac:dyDescent="0.4">
      <c r="F661">
        <f t="shared" si="21"/>
        <v>0</v>
      </c>
      <c r="G661">
        <f t="shared" si="22"/>
        <v>0</v>
      </c>
    </row>
    <row r="662" spans="6:7" x14ac:dyDescent="0.4">
      <c r="F662">
        <f t="shared" si="21"/>
        <v>0</v>
      </c>
      <c r="G662">
        <f t="shared" si="22"/>
        <v>0</v>
      </c>
    </row>
    <row r="663" spans="6:7" x14ac:dyDescent="0.4">
      <c r="F663">
        <f t="shared" si="21"/>
        <v>0</v>
      </c>
      <c r="G663">
        <f t="shared" si="22"/>
        <v>0</v>
      </c>
    </row>
    <row r="664" spans="6:7" x14ac:dyDescent="0.4">
      <c r="F664">
        <f t="shared" si="21"/>
        <v>0</v>
      </c>
      <c r="G664">
        <f t="shared" si="22"/>
        <v>0</v>
      </c>
    </row>
    <row r="665" spans="6:7" x14ac:dyDescent="0.4">
      <c r="F665">
        <f t="shared" si="21"/>
        <v>0</v>
      </c>
      <c r="G665">
        <f t="shared" si="22"/>
        <v>0</v>
      </c>
    </row>
    <row r="666" spans="6:7" x14ac:dyDescent="0.4">
      <c r="F666">
        <f t="shared" si="21"/>
        <v>0</v>
      </c>
      <c r="G666">
        <f t="shared" si="22"/>
        <v>0</v>
      </c>
    </row>
    <row r="667" spans="6:7" x14ac:dyDescent="0.4">
      <c r="F667">
        <f t="shared" si="21"/>
        <v>0</v>
      </c>
      <c r="G667">
        <f t="shared" si="22"/>
        <v>0</v>
      </c>
    </row>
    <row r="668" spans="6:7" x14ac:dyDescent="0.4">
      <c r="F668">
        <f t="shared" si="21"/>
        <v>0</v>
      </c>
      <c r="G668">
        <f t="shared" si="22"/>
        <v>0</v>
      </c>
    </row>
    <row r="669" spans="6:7" x14ac:dyDescent="0.4">
      <c r="F669">
        <f t="shared" si="21"/>
        <v>0</v>
      </c>
      <c r="G669">
        <f t="shared" si="22"/>
        <v>0</v>
      </c>
    </row>
    <row r="670" spans="6:7" x14ac:dyDescent="0.4">
      <c r="F670">
        <f t="shared" si="21"/>
        <v>0</v>
      </c>
      <c r="G670">
        <f t="shared" si="22"/>
        <v>0</v>
      </c>
    </row>
    <row r="671" spans="6:7" x14ac:dyDescent="0.4">
      <c r="F671">
        <f t="shared" si="21"/>
        <v>0</v>
      </c>
      <c r="G671">
        <f t="shared" si="22"/>
        <v>0</v>
      </c>
    </row>
    <row r="672" spans="6:7" x14ac:dyDescent="0.4">
      <c r="F672">
        <f t="shared" si="21"/>
        <v>0</v>
      </c>
      <c r="G672">
        <f t="shared" si="22"/>
        <v>0</v>
      </c>
    </row>
    <row r="673" spans="6:7" x14ac:dyDescent="0.4">
      <c r="F673">
        <f t="shared" si="21"/>
        <v>0</v>
      </c>
      <c r="G673">
        <f t="shared" si="22"/>
        <v>0</v>
      </c>
    </row>
    <row r="674" spans="6:7" x14ac:dyDescent="0.4">
      <c r="F674">
        <f t="shared" si="21"/>
        <v>0</v>
      </c>
      <c r="G674">
        <f t="shared" si="22"/>
        <v>0</v>
      </c>
    </row>
    <row r="675" spans="6:7" x14ac:dyDescent="0.4">
      <c r="F675">
        <f t="shared" si="21"/>
        <v>0</v>
      </c>
      <c r="G675">
        <f t="shared" si="22"/>
        <v>0</v>
      </c>
    </row>
    <row r="676" spans="6:7" x14ac:dyDescent="0.4">
      <c r="F676">
        <f t="shared" si="21"/>
        <v>0</v>
      </c>
      <c r="G676">
        <f t="shared" si="22"/>
        <v>0</v>
      </c>
    </row>
    <row r="677" spans="6:7" x14ac:dyDescent="0.4">
      <c r="F677">
        <f t="shared" si="21"/>
        <v>0</v>
      </c>
      <c r="G677">
        <f t="shared" si="22"/>
        <v>0</v>
      </c>
    </row>
    <row r="678" spans="6:7" x14ac:dyDescent="0.4">
      <c r="F678">
        <f t="shared" si="21"/>
        <v>0</v>
      </c>
      <c r="G678">
        <f t="shared" si="22"/>
        <v>0</v>
      </c>
    </row>
    <row r="679" spans="6:7" x14ac:dyDescent="0.4">
      <c r="F679">
        <f t="shared" si="21"/>
        <v>0</v>
      </c>
      <c r="G679">
        <f t="shared" si="22"/>
        <v>0</v>
      </c>
    </row>
    <row r="680" spans="6:7" x14ac:dyDescent="0.4">
      <c r="F680">
        <f t="shared" si="21"/>
        <v>0</v>
      </c>
      <c r="G680">
        <f t="shared" si="22"/>
        <v>0</v>
      </c>
    </row>
    <row r="681" spans="6:7" x14ac:dyDescent="0.4">
      <c r="F681">
        <f t="shared" si="21"/>
        <v>0</v>
      </c>
      <c r="G681">
        <f t="shared" si="22"/>
        <v>0</v>
      </c>
    </row>
    <row r="682" spans="6:7" x14ac:dyDescent="0.4">
      <c r="F682">
        <f t="shared" si="21"/>
        <v>0</v>
      </c>
      <c r="G682">
        <f t="shared" si="22"/>
        <v>0</v>
      </c>
    </row>
    <row r="683" spans="6:7" x14ac:dyDescent="0.4">
      <c r="F683">
        <f t="shared" si="21"/>
        <v>0</v>
      </c>
      <c r="G683">
        <f t="shared" si="22"/>
        <v>0</v>
      </c>
    </row>
    <row r="684" spans="6:7" x14ac:dyDescent="0.4">
      <c r="F684">
        <f t="shared" si="21"/>
        <v>0</v>
      </c>
      <c r="G684">
        <f t="shared" si="22"/>
        <v>0</v>
      </c>
    </row>
    <row r="685" spans="6:7" x14ac:dyDescent="0.4">
      <c r="F685">
        <f t="shared" si="21"/>
        <v>0</v>
      </c>
      <c r="G685">
        <f t="shared" si="22"/>
        <v>0</v>
      </c>
    </row>
    <row r="686" spans="6:7" x14ac:dyDescent="0.4">
      <c r="F686">
        <f t="shared" si="21"/>
        <v>0</v>
      </c>
      <c r="G686">
        <f t="shared" si="22"/>
        <v>0</v>
      </c>
    </row>
    <row r="687" spans="6:7" x14ac:dyDescent="0.4">
      <c r="F687">
        <f t="shared" si="21"/>
        <v>0</v>
      </c>
      <c r="G687">
        <f t="shared" si="22"/>
        <v>0</v>
      </c>
    </row>
    <row r="688" spans="6:7" x14ac:dyDescent="0.4">
      <c r="F688">
        <f t="shared" si="21"/>
        <v>0</v>
      </c>
      <c r="G688">
        <f t="shared" si="22"/>
        <v>0</v>
      </c>
    </row>
    <row r="689" spans="6:7" x14ac:dyDescent="0.4">
      <c r="F689">
        <f t="shared" si="21"/>
        <v>0</v>
      </c>
      <c r="G689">
        <f t="shared" si="22"/>
        <v>0</v>
      </c>
    </row>
    <row r="690" spans="6:7" x14ac:dyDescent="0.4">
      <c r="F690">
        <f t="shared" si="21"/>
        <v>0</v>
      </c>
      <c r="G690">
        <f t="shared" si="22"/>
        <v>0</v>
      </c>
    </row>
    <row r="691" spans="6:7" x14ac:dyDescent="0.4">
      <c r="F691">
        <f t="shared" si="21"/>
        <v>0</v>
      </c>
      <c r="G691">
        <f t="shared" si="22"/>
        <v>0</v>
      </c>
    </row>
    <row r="692" spans="6:7" x14ac:dyDescent="0.4">
      <c r="F692">
        <f t="shared" si="21"/>
        <v>0</v>
      </c>
      <c r="G692">
        <f t="shared" si="22"/>
        <v>0</v>
      </c>
    </row>
    <row r="693" spans="6:7" x14ac:dyDescent="0.4">
      <c r="F693">
        <f t="shared" si="21"/>
        <v>0</v>
      </c>
      <c r="G693">
        <f t="shared" si="22"/>
        <v>0</v>
      </c>
    </row>
    <row r="694" spans="6:7" x14ac:dyDescent="0.4">
      <c r="F694">
        <f t="shared" si="21"/>
        <v>0</v>
      </c>
      <c r="G694">
        <f t="shared" si="22"/>
        <v>0</v>
      </c>
    </row>
    <row r="695" spans="6:7" x14ac:dyDescent="0.4">
      <c r="F695">
        <f t="shared" si="21"/>
        <v>0</v>
      </c>
      <c r="G695">
        <f t="shared" si="22"/>
        <v>0</v>
      </c>
    </row>
    <row r="696" spans="6:7" x14ac:dyDescent="0.4">
      <c r="F696">
        <f t="shared" si="21"/>
        <v>0</v>
      </c>
      <c r="G696">
        <f t="shared" si="22"/>
        <v>0</v>
      </c>
    </row>
    <row r="697" spans="6:7" x14ac:dyDescent="0.4">
      <c r="F697">
        <f t="shared" si="21"/>
        <v>0</v>
      </c>
      <c r="G697">
        <f t="shared" si="22"/>
        <v>0</v>
      </c>
    </row>
    <row r="698" spans="6:7" x14ac:dyDescent="0.4">
      <c r="F698">
        <f t="shared" si="21"/>
        <v>0</v>
      </c>
      <c r="G698">
        <f t="shared" si="22"/>
        <v>0</v>
      </c>
    </row>
    <row r="699" spans="6:7" x14ac:dyDescent="0.4">
      <c r="F699">
        <f t="shared" si="21"/>
        <v>0</v>
      </c>
      <c r="G699">
        <f t="shared" si="22"/>
        <v>0</v>
      </c>
    </row>
    <row r="700" spans="6:7" x14ac:dyDescent="0.4">
      <c r="F700">
        <f t="shared" si="21"/>
        <v>0</v>
      </c>
      <c r="G700">
        <f t="shared" si="22"/>
        <v>0</v>
      </c>
    </row>
    <row r="701" spans="6:7" x14ac:dyDescent="0.4">
      <c r="F701">
        <f t="shared" si="21"/>
        <v>0</v>
      </c>
      <c r="G701">
        <f t="shared" si="22"/>
        <v>0</v>
      </c>
    </row>
    <row r="702" spans="6:7" x14ac:dyDescent="0.4">
      <c r="F702">
        <f t="shared" si="21"/>
        <v>0</v>
      </c>
      <c r="G702">
        <f t="shared" si="22"/>
        <v>0</v>
      </c>
    </row>
    <row r="703" spans="6:7" x14ac:dyDescent="0.4">
      <c r="F703">
        <f t="shared" si="21"/>
        <v>0</v>
      </c>
      <c r="G703">
        <f t="shared" si="22"/>
        <v>0</v>
      </c>
    </row>
    <row r="704" spans="6:7" x14ac:dyDescent="0.4">
      <c r="F704">
        <f t="shared" si="21"/>
        <v>0</v>
      </c>
      <c r="G704">
        <f t="shared" si="22"/>
        <v>0</v>
      </c>
    </row>
    <row r="705" spans="6:7" x14ac:dyDescent="0.4">
      <c r="F705">
        <f t="shared" si="21"/>
        <v>0</v>
      </c>
      <c r="G705">
        <f t="shared" si="22"/>
        <v>0</v>
      </c>
    </row>
    <row r="706" spans="6:7" x14ac:dyDescent="0.4">
      <c r="F706">
        <f t="shared" si="21"/>
        <v>0</v>
      </c>
      <c r="G706">
        <f t="shared" si="22"/>
        <v>0</v>
      </c>
    </row>
    <row r="707" spans="6:7" x14ac:dyDescent="0.4">
      <c r="F707">
        <f t="shared" ref="F707:F770" si="23">E707*D707</f>
        <v>0</v>
      </c>
      <c r="G707">
        <f t="shared" ref="G707:G770" si="24">F707-(F707*0.3)</f>
        <v>0</v>
      </c>
    </row>
    <row r="708" spans="6:7" x14ac:dyDescent="0.4">
      <c r="F708">
        <f t="shared" si="23"/>
        <v>0</v>
      </c>
      <c r="G708">
        <f t="shared" si="24"/>
        <v>0</v>
      </c>
    </row>
    <row r="709" spans="6:7" x14ac:dyDescent="0.4">
      <c r="F709">
        <f t="shared" si="23"/>
        <v>0</v>
      </c>
      <c r="G709">
        <f t="shared" si="24"/>
        <v>0</v>
      </c>
    </row>
    <row r="710" spans="6:7" x14ac:dyDescent="0.4">
      <c r="F710">
        <f t="shared" si="23"/>
        <v>0</v>
      </c>
      <c r="G710">
        <f t="shared" si="24"/>
        <v>0</v>
      </c>
    </row>
    <row r="711" spans="6:7" x14ac:dyDescent="0.4">
      <c r="F711">
        <f t="shared" si="23"/>
        <v>0</v>
      </c>
      <c r="G711">
        <f t="shared" si="24"/>
        <v>0</v>
      </c>
    </row>
    <row r="712" spans="6:7" x14ac:dyDescent="0.4">
      <c r="F712">
        <f t="shared" si="23"/>
        <v>0</v>
      </c>
      <c r="G712">
        <f t="shared" si="24"/>
        <v>0</v>
      </c>
    </row>
    <row r="713" spans="6:7" x14ac:dyDescent="0.4">
      <c r="F713">
        <f t="shared" si="23"/>
        <v>0</v>
      </c>
      <c r="G713">
        <f t="shared" si="24"/>
        <v>0</v>
      </c>
    </row>
    <row r="714" spans="6:7" x14ac:dyDescent="0.4">
      <c r="F714">
        <f t="shared" si="23"/>
        <v>0</v>
      </c>
      <c r="G714">
        <f t="shared" si="24"/>
        <v>0</v>
      </c>
    </row>
    <row r="715" spans="6:7" x14ac:dyDescent="0.4">
      <c r="F715">
        <f t="shared" si="23"/>
        <v>0</v>
      </c>
      <c r="G715">
        <f t="shared" si="24"/>
        <v>0</v>
      </c>
    </row>
    <row r="716" spans="6:7" x14ac:dyDescent="0.4">
      <c r="F716">
        <f t="shared" si="23"/>
        <v>0</v>
      </c>
      <c r="G716">
        <f t="shared" si="24"/>
        <v>0</v>
      </c>
    </row>
    <row r="717" spans="6:7" x14ac:dyDescent="0.4">
      <c r="F717">
        <f t="shared" si="23"/>
        <v>0</v>
      </c>
      <c r="G717">
        <f t="shared" si="24"/>
        <v>0</v>
      </c>
    </row>
    <row r="718" spans="6:7" x14ac:dyDescent="0.4">
      <c r="F718">
        <f t="shared" si="23"/>
        <v>0</v>
      </c>
      <c r="G718">
        <f t="shared" si="24"/>
        <v>0</v>
      </c>
    </row>
    <row r="719" spans="6:7" x14ac:dyDescent="0.4">
      <c r="F719">
        <f t="shared" si="23"/>
        <v>0</v>
      </c>
      <c r="G719">
        <f t="shared" si="24"/>
        <v>0</v>
      </c>
    </row>
    <row r="720" spans="6:7" x14ac:dyDescent="0.4">
      <c r="F720">
        <f t="shared" si="23"/>
        <v>0</v>
      </c>
      <c r="G720">
        <f t="shared" si="24"/>
        <v>0</v>
      </c>
    </row>
    <row r="721" spans="6:7" x14ac:dyDescent="0.4">
      <c r="F721">
        <f t="shared" si="23"/>
        <v>0</v>
      </c>
      <c r="G721">
        <f t="shared" si="24"/>
        <v>0</v>
      </c>
    </row>
    <row r="722" spans="6:7" x14ac:dyDescent="0.4">
      <c r="F722">
        <f t="shared" si="23"/>
        <v>0</v>
      </c>
      <c r="G722">
        <f t="shared" si="24"/>
        <v>0</v>
      </c>
    </row>
    <row r="723" spans="6:7" x14ac:dyDescent="0.4">
      <c r="F723">
        <f t="shared" si="23"/>
        <v>0</v>
      </c>
      <c r="G723">
        <f t="shared" si="24"/>
        <v>0</v>
      </c>
    </row>
    <row r="724" spans="6:7" x14ac:dyDescent="0.4">
      <c r="F724">
        <f t="shared" si="23"/>
        <v>0</v>
      </c>
      <c r="G724">
        <f t="shared" si="24"/>
        <v>0</v>
      </c>
    </row>
    <row r="725" spans="6:7" x14ac:dyDescent="0.4">
      <c r="F725">
        <f t="shared" si="23"/>
        <v>0</v>
      </c>
      <c r="G725">
        <f t="shared" si="24"/>
        <v>0</v>
      </c>
    </row>
    <row r="726" spans="6:7" x14ac:dyDescent="0.4">
      <c r="F726">
        <f t="shared" si="23"/>
        <v>0</v>
      </c>
      <c r="G726">
        <f t="shared" si="24"/>
        <v>0</v>
      </c>
    </row>
    <row r="727" spans="6:7" x14ac:dyDescent="0.4">
      <c r="F727">
        <f t="shared" si="23"/>
        <v>0</v>
      </c>
      <c r="G727">
        <f t="shared" si="24"/>
        <v>0</v>
      </c>
    </row>
    <row r="728" spans="6:7" x14ac:dyDescent="0.4">
      <c r="F728">
        <f t="shared" si="23"/>
        <v>0</v>
      </c>
      <c r="G728">
        <f t="shared" si="24"/>
        <v>0</v>
      </c>
    </row>
    <row r="729" spans="6:7" x14ac:dyDescent="0.4">
      <c r="F729">
        <f t="shared" si="23"/>
        <v>0</v>
      </c>
      <c r="G729">
        <f t="shared" si="24"/>
        <v>0</v>
      </c>
    </row>
    <row r="730" spans="6:7" x14ac:dyDescent="0.4">
      <c r="F730">
        <f t="shared" si="23"/>
        <v>0</v>
      </c>
      <c r="G730">
        <f t="shared" si="24"/>
        <v>0</v>
      </c>
    </row>
    <row r="731" spans="6:7" x14ac:dyDescent="0.4">
      <c r="F731">
        <f t="shared" si="23"/>
        <v>0</v>
      </c>
      <c r="G731">
        <f t="shared" si="24"/>
        <v>0</v>
      </c>
    </row>
    <row r="732" spans="6:7" x14ac:dyDescent="0.4">
      <c r="F732">
        <f t="shared" si="23"/>
        <v>0</v>
      </c>
      <c r="G732">
        <f t="shared" si="24"/>
        <v>0</v>
      </c>
    </row>
    <row r="733" spans="6:7" x14ac:dyDescent="0.4">
      <c r="F733">
        <f t="shared" si="23"/>
        <v>0</v>
      </c>
      <c r="G733">
        <f t="shared" si="24"/>
        <v>0</v>
      </c>
    </row>
    <row r="734" spans="6:7" x14ac:dyDescent="0.4">
      <c r="F734">
        <f t="shared" si="23"/>
        <v>0</v>
      </c>
      <c r="G734">
        <f t="shared" si="24"/>
        <v>0</v>
      </c>
    </row>
    <row r="735" spans="6:7" x14ac:dyDescent="0.4">
      <c r="F735">
        <f t="shared" si="23"/>
        <v>0</v>
      </c>
      <c r="G735">
        <f t="shared" si="24"/>
        <v>0</v>
      </c>
    </row>
    <row r="736" spans="6:7" x14ac:dyDescent="0.4">
      <c r="F736">
        <f t="shared" si="23"/>
        <v>0</v>
      </c>
      <c r="G736">
        <f t="shared" si="24"/>
        <v>0</v>
      </c>
    </row>
    <row r="737" spans="6:7" x14ac:dyDescent="0.4">
      <c r="F737">
        <f t="shared" si="23"/>
        <v>0</v>
      </c>
      <c r="G737">
        <f t="shared" si="24"/>
        <v>0</v>
      </c>
    </row>
    <row r="738" spans="6:7" x14ac:dyDescent="0.4">
      <c r="F738">
        <f t="shared" si="23"/>
        <v>0</v>
      </c>
      <c r="G738">
        <f t="shared" si="24"/>
        <v>0</v>
      </c>
    </row>
    <row r="739" spans="6:7" x14ac:dyDescent="0.4">
      <c r="F739">
        <f t="shared" si="23"/>
        <v>0</v>
      </c>
      <c r="G739">
        <f t="shared" si="24"/>
        <v>0</v>
      </c>
    </row>
    <row r="740" spans="6:7" x14ac:dyDescent="0.4">
      <c r="F740">
        <f t="shared" si="23"/>
        <v>0</v>
      </c>
      <c r="G740">
        <f t="shared" si="24"/>
        <v>0</v>
      </c>
    </row>
    <row r="741" spans="6:7" x14ac:dyDescent="0.4">
      <c r="F741">
        <f t="shared" si="23"/>
        <v>0</v>
      </c>
      <c r="G741">
        <f t="shared" si="24"/>
        <v>0</v>
      </c>
    </row>
    <row r="742" spans="6:7" x14ac:dyDescent="0.4">
      <c r="F742">
        <f t="shared" si="23"/>
        <v>0</v>
      </c>
      <c r="G742">
        <f t="shared" si="24"/>
        <v>0</v>
      </c>
    </row>
    <row r="743" spans="6:7" x14ac:dyDescent="0.4">
      <c r="F743">
        <f t="shared" si="23"/>
        <v>0</v>
      </c>
      <c r="G743">
        <f t="shared" si="24"/>
        <v>0</v>
      </c>
    </row>
    <row r="744" spans="6:7" x14ac:dyDescent="0.4">
      <c r="F744">
        <f t="shared" si="23"/>
        <v>0</v>
      </c>
      <c r="G744">
        <f t="shared" si="24"/>
        <v>0</v>
      </c>
    </row>
    <row r="745" spans="6:7" x14ac:dyDescent="0.4">
      <c r="F745">
        <f t="shared" si="23"/>
        <v>0</v>
      </c>
      <c r="G745">
        <f t="shared" si="24"/>
        <v>0</v>
      </c>
    </row>
    <row r="746" spans="6:7" x14ac:dyDescent="0.4">
      <c r="F746">
        <f t="shared" si="23"/>
        <v>0</v>
      </c>
      <c r="G746">
        <f t="shared" si="24"/>
        <v>0</v>
      </c>
    </row>
    <row r="747" spans="6:7" x14ac:dyDescent="0.4">
      <c r="F747">
        <f t="shared" si="23"/>
        <v>0</v>
      </c>
      <c r="G747">
        <f t="shared" si="24"/>
        <v>0</v>
      </c>
    </row>
    <row r="748" spans="6:7" x14ac:dyDescent="0.4">
      <c r="F748">
        <f t="shared" si="23"/>
        <v>0</v>
      </c>
      <c r="G748">
        <f t="shared" si="24"/>
        <v>0</v>
      </c>
    </row>
    <row r="749" spans="6:7" x14ac:dyDescent="0.4">
      <c r="F749">
        <f t="shared" si="23"/>
        <v>0</v>
      </c>
      <c r="G749">
        <f t="shared" si="24"/>
        <v>0</v>
      </c>
    </row>
    <row r="750" spans="6:7" x14ac:dyDescent="0.4">
      <c r="F750">
        <f t="shared" si="23"/>
        <v>0</v>
      </c>
      <c r="G750">
        <f t="shared" si="24"/>
        <v>0</v>
      </c>
    </row>
    <row r="751" spans="6:7" x14ac:dyDescent="0.4">
      <c r="F751">
        <f t="shared" si="23"/>
        <v>0</v>
      </c>
      <c r="G751">
        <f t="shared" si="24"/>
        <v>0</v>
      </c>
    </row>
    <row r="752" spans="6:7" x14ac:dyDescent="0.4">
      <c r="F752">
        <f t="shared" si="23"/>
        <v>0</v>
      </c>
      <c r="G752">
        <f t="shared" si="24"/>
        <v>0</v>
      </c>
    </row>
    <row r="753" spans="6:7" x14ac:dyDescent="0.4">
      <c r="F753">
        <f t="shared" si="23"/>
        <v>0</v>
      </c>
      <c r="G753">
        <f t="shared" si="24"/>
        <v>0</v>
      </c>
    </row>
    <row r="754" spans="6:7" x14ac:dyDescent="0.4">
      <c r="F754">
        <f t="shared" si="23"/>
        <v>0</v>
      </c>
      <c r="G754">
        <f t="shared" si="24"/>
        <v>0</v>
      </c>
    </row>
    <row r="755" spans="6:7" x14ac:dyDescent="0.4">
      <c r="F755">
        <f t="shared" si="23"/>
        <v>0</v>
      </c>
      <c r="G755">
        <f t="shared" si="24"/>
        <v>0</v>
      </c>
    </row>
    <row r="756" spans="6:7" x14ac:dyDescent="0.4">
      <c r="F756">
        <f t="shared" si="23"/>
        <v>0</v>
      </c>
      <c r="G756">
        <f t="shared" si="24"/>
        <v>0</v>
      </c>
    </row>
    <row r="757" spans="6:7" x14ac:dyDescent="0.4">
      <c r="F757">
        <f t="shared" si="23"/>
        <v>0</v>
      </c>
      <c r="G757">
        <f t="shared" si="24"/>
        <v>0</v>
      </c>
    </row>
    <row r="758" spans="6:7" x14ac:dyDescent="0.4">
      <c r="F758">
        <f t="shared" si="23"/>
        <v>0</v>
      </c>
      <c r="G758">
        <f t="shared" si="24"/>
        <v>0</v>
      </c>
    </row>
    <row r="759" spans="6:7" x14ac:dyDescent="0.4">
      <c r="F759">
        <f t="shared" si="23"/>
        <v>0</v>
      </c>
      <c r="G759">
        <f t="shared" si="24"/>
        <v>0</v>
      </c>
    </row>
    <row r="760" spans="6:7" x14ac:dyDescent="0.4">
      <c r="F760">
        <f t="shared" si="23"/>
        <v>0</v>
      </c>
      <c r="G760">
        <f t="shared" si="24"/>
        <v>0</v>
      </c>
    </row>
    <row r="761" spans="6:7" x14ac:dyDescent="0.4">
      <c r="F761">
        <f t="shared" si="23"/>
        <v>0</v>
      </c>
      <c r="G761">
        <f t="shared" si="24"/>
        <v>0</v>
      </c>
    </row>
    <row r="762" spans="6:7" x14ac:dyDescent="0.4">
      <c r="F762">
        <f t="shared" si="23"/>
        <v>0</v>
      </c>
      <c r="G762">
        <f t="shared" si="24"/>
        <v>0</v>
      </c>
    </row>
    <row r="763" spans="6:7" x14ac:dyDescent="0.4">
      <c r="F763">
        <f t="shared" si="23"/>
        <v>0</v>
      </c>
      <c r="G763">
        <f t="shared" si="24"/>
        <v>0</v>
      </c>
    </row>
    <row r="764" spans="6:7" x14ac:dyDescent="0.4">
      <c r="F764">
        <f t="shared" si="23"/>
        <v>0</v>
      </c>
      <c r="G764">
        <f t="shared" si="24"/>
        <v>0</v>
      </c>
    </row>
    <row r="765" spans="6:7" x14ac:dyDescent="0.4">
      <c r="F765">
        <f t="shared" si="23"/>
        <v>0</v>
      </c>
      <c r="G765">
        <f t="shared" si="24"/>
        <v>0</v>
      </c>
    </row>
    <row r="766" spans="6:7" x14ac:dyDescent="0.4">
      <c r="F766">
        <f t="shared" si="23"/>
        <v>0</v>
      </c>
      <c r="G766">
        <f t="shared" si="24"/>
        <v>0</v>
      </c>
    </row>
    <row r="767" spans="6:7" x14ac:dyDescent="0.4">
      <c r="F767">
        <f t="shared" si="23"/>
        <v>0</v>
      </c>
      <c r="G767">
        <f t="shared" si="24"/>
        <v>0</v>
      </c>
    </row>
    <row r="768" spans="6:7" x14ac:dyDescent="0.4">
      <c r="F768">
        <f t="shared" si="23"/>
        <v>0</v>
      </c>
      <c r="G768">
        <f t="shared" si="24"/>
        <v>0</v>
      </c>
    </row>
    <row r="769" spans="6:7" x14ac:dyDescent="0.4">
      <c r="F769">
        <f t="shared" si="23"/>
        <v>0</v>
      </c>
      <c r="G769">
        <f t="shared" si="24"/>
        <v>0</v>
      </c>
    </row>
    <row r="770" spans="6:7" x14ac:dyDescent="0.4">
      <c r="F770">
        <f t="shared" si="23"/>
        <v>0</v>
      </c>
      <c r="G770">
        <f t="shared" si="24"/>
        <v>0</v>
      </c>
    </row>
    <row r="771" spans="6:7" x14ac:dyDescent="0.4">
      <c r="F771">
        <f t="shared" ref="F771:F834" si="25">E771*D771</f>
        <v>0</v>
      </c>
      <c r="G771">
        <f t="shared" ref="G771:G834" si="26">F771-(F771*0.3)</f>
        <v>0</v>
      </c>
    </row>
    <row r="772" spans="6:7" x14ac:dyDescent="0.4">
      <c r="F772">
        <f t="shared" si="25"/>
        <v>0</v>
      </c>
      <c r="G772">
        <f t="shared" si="26"/>
        <v>0</v>
      </c>
    </row>
    <row r="773" spans="6:7" x14ac:dyDescent="0.4">
      <c r="F773">
        <f t="shared" si="25"/>
        <v>0</v>
      </c>
      <c r="G773">
        <f t="shared" si="26"/>
        <v>0</v>
      </c>
    </row>
    <row r="774" spans="6:7" x14ac:dyDescent="0.4">
      <c r="F774">
        <f t="shared" si="25"/>
        <v>0</v>
      </c>
      <c r="G774">
        <f t="shared" si="26"/>
        <v>0</v>
      </c>
    </row>
    <row r="775" spans="6:7" x14ac:dyDescent="0.4">
      <c r="F775">
        <f t="shared" si="25"/>
        <v>0</v>
      </c>
      <c r="G775">
        <f t="shared" si="26"/>
        <v>0</v>
      </c>
    </row>
    <row r="776" spans="6:7" x14ac:dyDescent="0.4">
      <c r="F776">
        <f t="shared" si="25"/>
        <v>0</v>
      </c>
      <c r="G776">
        <f t="shared" si="26"/>
        <v>0</v>
      </c>
    </row>
    <row r="777" spans="6:7" x14ac:dyDescent="0.4">
      <c r="F777">
        <f t="shared" si="25"/>
        <v>0</v>
      </c>
      <c r="G777">
        <f t="shared" si="26"/>
        <v>0</v>
      </c>
    </row>
    <row r="778" spans="6:7" x14ac:dyDescent="0.4">
      <c r="F778">
        <f t="shared" si="25"/>
        <v>0</v>
      </c>
      <c r="G778">
        <f t="shared" si="26"/>
        <v>0</v>
      </c>
    </row>
    <row r="779" spans="6:7" x14ac:dyDescent="0.4">
      <c r="F779">
        <f t="shared" si="25"/>
        <v>0</v>
      </c>
      <c r="G779">
        <f t="shared" si="26"/>
        <v>0</v>
      </c>
    </row>
    <row r="780" spans="6:7" x14ac:dyDescent="0.4">
      <c r="F780">
        <f t="shared" si="25"/>
        <v>0</v>
      </c>
      <c r="G780">
        <f t="shared" si="26"/>
        <v>0</v>
      </c>
    </row>
    <row r="781" spans="6:7" x14ac:dyDescent="0.4">
      <c r="F781">
        <f t="shared" si="25"/>
        <v>0</v>
      </c>
      <c r="G781">
        <f t="shared" si="26"/>
        <v>0</v>
      </c>
    </row>
    <row r="782" spans="6:7" x14ac:dyDescent="0.4">
      <c r="F782">
        <f t="shared" si="25"/>
        <v>0</v>
      </c>
      <c r="G782">
        <f t="shared" si="26"/>
        <v>0</v>
      </c>
    </row>
    <row r="783" spans="6:7" x14ac:dyDescent="0.4">
      <c r="F783">
        <f t="shared" si="25"/>
        <v>0</v>
      </c>
      <c r="G783">
        <f t="shared" si="26"/>
        <v>0</v>
      </c>
    </row>
    <row r="784" spans="6:7" x14ac:dyDescent="0.4">
      <c r="F784">
        <f t="shared" si="25"/>
        <v>0</v>
      </c>
      <c r="G784">
        <f t="shared" si="26"/>
        <v>0</v>
      </c>
    </row>
    <row r="785" spans="6:7" x14ac:dyDescent="0.4">
      <c r="F785">
        <f t="shared" si="25"/>
        <v>0</v>
      </c>
      <c r="G785">
        <f t="shared" si="26"/>
        <v>0</v>
      </c>
    </row>
    <row r="786" spans="6:7" x14ac:dyDescent="0.4">
      <c r="F786">
        <f t="shared" si="25"/>
        <v>0</v>
      </c>
      <c r="G786">
        <f t="shared" si="26"/>
        <v>0</v>
      </c>
    </row>
    <row r="787" spans="6:7" x14ac:dyDescent="0.4">
      <c r="F787">
        <f t="shared" si="25"/>
        <v>0</v>
      </c>
      <c r="G787">
        <f t="shared" si="26"/>
        <v>0</v>
      </c>
    </row>
    <row r="788" spans="6:7" x14ac:dyDescent="0.4">
      <c r="F788">
        <f t="shared" si="25"/>
        <v>0</v>
      </c>
      <c r="G788">
        <f t="shared" si="26"/>
        <v>0</v>
      </c>
    </row>
    <row r="789" spans="6:7" x14ac:dyDescent="0.4">
      <c r="F789">
        <f t="shared" si="25"/>
        <v>0</v>
      </c>
      <c r="G789">
        <f t="shared" si="26"/>
        <v>0</v>
      </c>
    </row>
    <row r="790" spans="6:7" x14ac:dyDescent="0.4">
      <c r="F790">
        <f t="shared" si="25"/>
        <v>0</v>
      </c>
      <c r="G790">
        <f t="shared" si="26"/>
        <v>0</v>
      </c>
    </row>
    <row r="791" spans="6:7" x14ac:dyDescent="0.4">
      <c r="F791">
        <f t="shared" si="25"/>
        <v>0</v>
      </c>
      <c r="G791">
        <f t="shared" si="26"/>
        <v>0</v>
      </c>
    </row>
    <row r="792" spans="6:7" x14ac:dyDescent="0.4">
      <c r="F792">
        <f t="shared" si="25"/>
        <v>0</v>
      </c>
      <c r="G792">
        <f t="shared" si="26"/>
        <v>0</v>
      </c>
    </row>
    <row r="793" spans="6:7" x14ac:dyDescent="0.4">
      <c r="F793">
        <f t="shared" si="25"/>
        <v>0</v>
      </c>
      <c r="G793">
        <f t="shared" si="26"/>
        <v>0</v>
      </c>
    </row>
    <row r="794" spans="6:7" x14ac:dyDescent="0.4">
      <c r="F794">
        <f t="shared" si="25"/>
        <v>0</v>
      </c>
      <c r="G794">
        <f t="shared" si="26"/>
        <v>0</v>
      </c>
    </row>
    <row r="795" spans="6:7" x14ac:dyDescent="0.4">
      <c r="F795">
        <f t="shared" si="25"/>
        <v>0</v>
      </c>
      <c r="G795">
        <f t="shared" si="26"/>
        <v>0</v>
      </c>
    </row>
    <row r="796" spans="6:7" x14ac:dyDescent="0.4">
      <c r="F796">
        <f t="shared" si="25"/>
        <v>0</v>
      </c>
      <c r="G796">
        <f t="shared" si="26"/>
        <v>0</v>
      </c>
    </row>
    <row r="797" spans="6:7" x14ac:dyDescent="0.4">
      <c r="F797">
        <f t="shared" si="25"/>
        <v>0</v>
      </c>
      <c r="G797">
        <f t="shared" si="26"/>
        <v>0</v>
      </c>
    </row>
    <row r="798" spans="6:7" x14ac:dyDescent="0.4">
      <c r="F798">
        <f t="shared" si="25"/>
        <v>0</v>
      </c>
      <c r="G798">
        <f t="shared" si="26"/>
        <v>0</v>
      </c>
    </row>
    <row r="799" spans="6:7" x14ac:dyDescent="0.4">
      <c r="F799">
        <f t="shared" si="25"/>
        <v>0</v>
      </c>
      <c r="G799">
        <f t="shared" si="26"/>
        <v>0</v>
      </c>
    </row>
    <row r="800" spans="6:7" x14ac:dyDescent="0.4">
      <c r="F800">
        <f t="shared" si="25"/>
        <v>0</v>
      </c>
      <c r="G800">
        <f t="shared" si="26"/>
        <v>0</v>
      </c>
    </row>
    <row r="801" spans="6:7" x14ac:dyDescent="0.4">
      <c r="F801">
        <f t="shared" si="25"/>
        <v>0</v>
      </c>
      <c r="G801">
        <f t="shared" si="26"/>
        <v>0</v>
      </c>
    </row>
    <row r="802" spans="6:7" x14ac:dyDescent="0.4">
      <c r="F802">
        <f t="shared" si="25"/>
        <v>0</v>
      </c>
      <c r="G802">
        <f t="shared" si="26"/>
        <v>0</v>
      </c>
    </row>
    <row r="803" spans="6:7" x14ac:dyDescent="0.4">
      <c r="F803">
        <f t="shared" si="25"/>
        <v>0</v>
      </c>
      <c r="G803">
        <f t="shared" si="26"/>
        <v>0</v>
      </c>
    </row>
    <row r="804" spans="6:7" x14ac:dyDescent="0.4">
      <c r="F804">
        <f t="shared" si="25"/>
        <v>0</v>
      </c>
      <c r="G804">
        <f t="shared" si="26"/>
        <v>0</v>
      </c>
    </row>
    <row r="805" spans="6:7" x14ac:dyDescent="0.4">
      <c r="F805">
        <f t="shared" si="25"/>
        <v>0</v>
      </c>
      <c r="G805">
        <f t="shared" si="26"/>
        <v>0</v>
      </c>
    </row>
    <row r="806" spans="6:7" x14ac:dyDescent="0.4">
      <c r="F806">
        <f t="shared" si="25"/>
        <v>0</v>
      </c>
      <c r="G806">
        <f t="shared" si="26"/>
        <v>0</v>
      </c>
    </row>
    <row r="807" spans="6:7" x14ac:dyDescent="0.4">
      <c r="F807">
        <f t="shared" si="25"/>
        <v>0</v>
      </c>
      <c r="G807">
        <f t="shared" si="26"/>
        <v>0</v>
      </c>
    </row>
    <row r="808" spans="6:7" x14ac:dyDescent="0.4">
      <c r="F808">
        <f t="shared" si="25"/>
        <v>0</v>
      </c>
      <c r="G808">
        <f t="shared" si="26"/>
        <v>0</v>
      </c>
    </row>
    <row r="809" spans="6:7" x14ac:dyDescent="0.4">
      <c r="F809">
        <f t="shared" si="25"/>
        <v>0</v>
      </c>
      <c r="G809">
        <f t="shared" si="26"/>
        <v>0</v>
      </c>
    </row>
    <row r="810" spans="6:7" x14ac:dyDescent="0.4">
      <c r="F810">
        <f t="shared" si="25"/>
        <v>0</v>
      </c>
      <c r="G810">
        <f t="shared" si="26"/>
        <v>0</v>
      </c>
    </row>
    <row r="811" spans="6:7" x14ac:dyDescent="0.4">
      <c r="F811">
        <f t="shared" si="25"/>
        <v>0</v>
      </c>
      <c r="G811">
        <f t="shared" si="26"/>
        <v>0</v>
      </c>
    </row>
    <row r="812" spans="6:7" x14ac:dyDescent="0.4">
      <c r="F812">
        <f t="shared" si="25"/>
        <v>0</v>
      </c>
      <c r="G812">
        <f t="shared" si="26"/>
        <v>0</v>
      </c>
    </row>
    <row r="813" spans="6:7" x14ac:dyDescent="0.4">
      <c r="F813">
        <f t="shared" si="25"/>
        <v>0</v>
      </c>
      <c r="G813">
        <f t="shared" si="26"/>
        <v>0</v>
      </c>
    </row>
    <row r="814" spans="6:7" x14ac:dyDescent="0.4">
      <c r="F814">
        <f t="shared" si="25"/>
        <v>0</v>
      </c>
      <c r="G814">
        <f t="shared" si="26"/>
        <v>0</v>
      </c>
    </row>
    <row r="815" spans="6:7" x14ac:dyDescent="0.4">
      <c r="F815">
        <f t="shared" si="25"/>
        <v>0</v>
      </c>
      <c r="G815">
        <f t="shared" si="26"/>
        <v>0</v>
      </c>
    </row>
    <row r="816" spans="6:7" x14ac:dyDescent="0.4">
      <c r="F816">
        <f t="shared" si="25"/>
        <v>0</v>
      </c>
      <c r="G816">
        <f t="shared" si="26"/>
        <v>0</v>
      </c>
    </row>
    <row r="817" spans="6:7" x14ac:dyDescent="0.4">
      <c r="F817">
        <f t="shared" si="25"/>
        <v>0</v>
      </c>
      <c r="G817">
        <f t="shared" si="26"/>
        <v>0</v>
      </c>
    </row>
    <row r="818" spans="6:7" x14ac:dyDescent="0.4">
      <c r="F818">
        <f t="shared" si="25"/>
        <v>0</v>
      </c>
      <c r="G818">
        <f t="shared" si="26"/>
        <v>0</v>
      </c>
    </row>
    <row r="819" spans="6:7" x14ac:dyDescent="0.4">
      <c r="F819">
        <f t="shared" si="25"/>
        <v>0</v>
      </c>
      <c r="G819">
        <f t="shared" si="26"/>
        <v>0</v>
      </c>
    </row>
    <row r="820" spans="6:7" x14ac:dyDescent="0.4">
      <c r="F820">
        <f t="shared" si="25"/>
        <v>0</v>
      </c>
      <c r="G820">
        <f t="shared" si="26"/>
        <v>0</v>
      </c>
    </row>
    <row r="821" spans="6:7" x14ac:dyDescent="0.4">
      <c r="F821">
        <f t="shared" si="25"/>
        <v>0</v>
      </c>
      <c r="G821">
        <f t="shared" si="26"/>
        <v>0</v>
      </c>
    </row>
    <row r="822" spans="6:7" x14ac:dyDescent="0.4">
      <c r="F822">
        <f t="shared" si="25"/>
        <v>0</v>
      </c>
      <c r="G822">
        <f t="shared" si="26"/>
        <v>0</v>
      </c>
    </row>
    <row r="823" spans="6:7" x14ac:dyDescent="0.4">
      <c r="F823">
        <f t="shared" si="25"/>
        <v>0</v>
      </c>
      <c r="G823">
        <f t="shared" si="26"/>
        <v>0</v>
      </c>
    </row>
    <row r="824" spans="6:7" x14ac:dyDescent="0.4">
      <c r="F824">
        <f t="shared" si="25"/>
        <v>0</v>
      </c>
      <c r="G824">
        <f t="shared" si="26"/>
        <v>0</v>
      </c>
    </row>
    <row r="825" spans="6:7" x14ac:dyDescent="0.4">
      <c r="F825">
        <f t="shared" si="25"/>
        <v>0</v>
      </c>
      <c r="G825">
        <f t="shared" si="26"/>
        <v>0</v>
      </c>
    </row>
    <row r="826" spans="6:7" x14ac:dyDescent="0.4">
      <c r="F826">
        <f t="shared" si="25"/>
        <v>0</v>
      </c>
      <c r="G826">
        <f t="shared" si="26"/>
        <v>0</v>
      </c>
    </row>
    <row r="827" spans="6:7" x14ac:dyDescent="0.4">
      <c r="F827">
        <f t="shared" si="25"/>
        <v>0</v>
      </c>
      <c r="G827">
        <f t="shared" si="26"/>
        <v>0</v>
      </c>
    </row>
    <row r="828" spans="6:7" x14ac:dyDescent="0.4">
      <c r="F828">
        <f t="shared" si="25"/>
        <v>0</v>
      </c>
      <c r="G828">
        <f t="shared" si="26"/>
        <v>0</v>
      </c>
    </row>
    <row r="829" spans="6:7" x14ac:dyDescent="0.4">
      <c r="F829">
        <f t="shared" si="25"/>
        <v>0</v>
      </c>
      <c r="G829">
        <f t="shared" si="26"/>
        <v>0</v>
      </c>
    </row>
    <row r="830" spans="6:7" x14ac:dyDescent="0.4">
      <c r="F830">
        <f t="shared" si="25"/>
        <v>0</v>
      </c>
      <c r="G830">
        <f t="shared" si="26"/>
        <v>0</v>
      </c>
    </row>
    <row r="831" spans="6:7" x14ac:dyDescent="0.4">
      <c r="F831">
        <f t="shared" si="25"/>
        <v>0</v>
      </c>
      <c r="G831">
        <f t="shared" si="26"/>
        <v>0</v>
      </c>
    </row>
    <row r="832" spans="6:7" x14ac:dyDescent="0.4">
      <c r="F832">
        <f t="shared" si="25"/>
        <v>0</v>
      </c>
      <c r="G832">
        <f t="shared" si="26"/>
        <v>0</v>
      </c>
    </row>
    <row r="833" spans="6:7" x14ac:dyDescent="0.4">
      <c r="F833">
        <f t="shared" si="25"/>
        <v>0</v>
      </c>
      <c r="G833">
        <f t="shared" si="26"/>
        <v>0</v>
      </c>
    </row>
    <row r="834" spans="6:7" x14ac:dyDescent="0.4">
      <c r="F834">
        <f t="shared" si="25"/>
        <v>0</v>
      </c>
      <c r="G834">
        <f t="shared" si="26"/>
        <v>0</v>
      </c>
    </row>
    <row r="835" spans="6:7" x14ac:dyDescent="0.4">
      <c r="F835">
        <f t="shared" ref="F835:F898" si="27">E835*D835</f>
        <v>0</v>
      </c>
      <c r="G835">
        <f t="shared" ref="G835:G898" si="28">F835-(F835*0.3)</f>
        <v>0</v>
      </c>
    </row>
    <row r="836" spans="6:7" x14ac:dyDescent="0.4">
      <c r="F836">
        <f t="shared" si="27"/>
        <v>0</v>
      </c>
      <c r="G836">
        <f t="shared" si="28"/>
        <v>0</v>
      </c>
    </row>
    <row r="837" spans="6:7" x14ac:dyDescent="0.4">
      <c r="F837">
        <f t="shared" si="27"/>
        <v>0</v>
      </c>
      <c r="G837">
        <f t="shared" si="28"/>
        <v>0</v>
      </c>
    </row>
    <row r="838" spans="6:7" x14ac:dyDescent="0.4">
      <c r="F838">
        <f t="shared" si="27"/>
        <v>0</v>
      </c>
      <c r="G838">
        <f t="shared" si="28"/>
        <v>0</v>
      </c>
    </row>
    <row r="839" spans="6:7" x14ac:dyDescent="0.4">
      <c r="F839">
        <f t="shared" si="27"/>
        <v>0</v>
      </c>
      <c r="G839">
        <f t="shared" si="28"/>
        <v>0</v>
      </c>
    </row>
    <row r="840" spans="6:7" x14ac:dyDescent="0.4">
      <c r="F840">
        <f t="shared" si="27"/>
        <v>0</v>
      </c>
      <c r="G840">
        <f t="shared" si="28"/>
        <v>0</v>
      </c>
    </row>
    <row r="841" spans="6:7" x14ac:dyDescent="0.4">
      <c r="F841">
        <f t="shared" si="27"/>
        <v>0</v>
      </c>
      <c r="G841">
        <f t="shared" si="28"/>
        <v>0</v>
      </c>
    </row>
    <row r="842" spans="6:7" x14ac:dyDescent="0.4">
      <c r="F842">
        <f t="shared" si="27"/>
        <v>0</v>
      </c>
      <c r="G842">
        <f t="shared" si="28"/>
        <v>0</v>
      </c>
    </row>
    <row r="843" spans="6:7" x14ac:dyDescent="0.4">
      <c r="F843">
        <f t="shared" si="27"/>
        <v>0</v>
      </c>
      <c r="G843">
        <f t="shared" si="28"/>
        <v>0</v>
      </c>
    </row>
    <row r="844" spans="6:7" x14ac:dyDescent="0.4">
      <c r="F844">
        <f t="shared" si="27"/>
        <v>0</v>
      </c>
      <c r="G844">
        <f t="shared" si="28"/>
        <v>0</v>
      </c>
    </row>
    <row r="845" spans="6:7" x14ac:dyDescent="0.4">
      <c r="F845">
        <f t="shared" si="27"/>
        <v>0</v>
      </c>
      <c r="G845">
        <f t="shared" si="28"/>
        <v>0</v>
      </c>
    </row>
    <row r="846" spans="6:7" x14ac:dyDescent="0.4">
      <c r="F846">
        <f t="shared" si="27"/>
        <v>0</v>
      </c>
      <c r="G846">
        <f t="shared" si="28"/>
        <v>0</v>
      </c>
    </row>
    <row r="847" spans="6:7" x14ac:dyDescent="0.4">
      <c r="F847">
        <f t="shared" si="27"/>
        <v>0</v>
      </c>
      <c r="G847">
        <f t="shared" si="28"/>
        <v>0</v>
      </c>
    </row>
    <row r="848" spans="6:7" x14ac:dyDescent="0.4">
      <c r="F848">
        <f t="shared" si="27"/>
        <v>0</v>
      </c>
      <c r="G848">
        <f t="shared" si="28"/>
        <v>0</v>
      </c>
    </row>
    <row r="849" spans="6:7" x14ac:dyDescent="0.4">
      <c r="F849">
        <f t="shared" si="27"/>
        <v>0</v>
      </c>
      <c r="G849">
        <f t="shared" si="28"/>
        <v>0</v>
      </c>
    </row>
    <row r="850" spans="6:7" x14ac:dyDescent="0.4">
      <c r="F850">
        <f t="shared" si="27"/>
        <v>0</v>
      </c>
      <c r="G850">
        <f t="shared" si="28"/>
        <v>0</v>
      </c>
    </row>
    <row r="851" spans="6:7" x14ac:dyDescent="0.4">
      <c r="F851">
        <f t="shared" si="27"/>
        <v>0</v>
      </c>
      <c r="G851">
        <f t="shared" si="28"/>
        <v>0</v>
      </c>
    </row>
    <row r="852" spans="6:7" x14ac:dyDescent="0.4">
      <c r="F852">
        <f t="shared" si="27"/>
        <v>0</v>
      </c>
      <c r="G852">
        <f t="shared" si="28"/>
        <v>0</v>
      </c>
    </row>
    <row r="853" spans="6:7" x14ac:dyDescent="0.4">
      <c r="F853">
        <f t="shared" si="27"/>
        <v>0</v>
      </c>
      <c r="G853">
        <f t="shared" si="28"/>
        <v>0</v>
      </c>
    </row>
    <row r="854" spans="6:7" x14ac:dyDescent="0.4">
      <c r="F854">
        <f t="shared" si="27"/>
        <v>0</v>
      </c>
      <c r="G854">
        <f t="shared" si="28"/>
        <v>0</v>
      </c>
    </row>
    <row r="855" spans="6:7" x14ac:dyDescent="0.4">
      <c r="F855">
        <f t="shared" si="27"/>
        <v>0</v>
      </c>
      <c r="G855">
        <f t="shared" si="28"/>
        <v>0</v>
      </c>
    </row>
    <row r="856" spans="6:7" x14ac:dyDescent="0.4">
      <c r="F856">
        <f t="shared" si="27"/>
        <v>0</v>
      </c>
      <c r="G856">
        <f t="shared" si="28"/>
        <v>0</v>
      </c>
    </row>
    <row r="857" spans="6:7" x14ac:dyDescent="0.4">
      <c r="F857">
        <f t="shared" si="27"/>
        <v>0</v>
      </c>
      <c r="G857">
        <f t="shared" si="28"/>
        <v>0</v>
      </c>
    </row>
    <row r="858" spans="6:7" x14ac:dyDescent="0.4">
      <c r="F858">
        <f t="shared" si="27"/>
        <v>0</v>
      </c>
      <c r="G858">
        <f t="shared" si="28"/>
        <v>0</v>
      </c>
    </row>
    <row r="859" spans="6:7" x14ac:dyDescent="0.4">
      <c r="F859">
        <f t="shared" si="27"/>
        <v>0</v>
      </c>
      <c r="G859">
        <f t="shared" si="28"/>
        <v>0</v>
      </c>
    </row>
    <row r="860" spans="6:7" x14ac:dyDescent="0.4">
      <c r="F860">
        <f t="shared" si="27"/>
        <v>0</v>
      </c>
      <c r="G860">
        <f t="shared" si="28"/>
        <v>0</v>
      </c>
    </row>
    <row r="861" spans="6:7" x14ac:dyDescent="0.4">
      <c r="F861">
        <f t="shared" si="27"/>
        <v>0</v>
      </c>
      <c r="G861">
        <f t="shared" si="28"/>
        <v>0</v>
      </c>
    </row>
    <row r="862" spans="6:7" x14ac:dyDescent="0.4">
      <c r="F862">
        <f t="shared" si="27"/>
        <v>0</v>
      </c>
      <c r="G862">
        <f t="shared" si="28"/>
        <v>0</v>
      </c>
    </row>
    <row r="863" spans="6:7" x14ac:dyDescent="0.4">
      <c r="F863">
        <f t="shared" si="27"/>
        <v>0</v>
      </c>
      <c r="G863">
        <f t="shared" si="28"/>
        <v>0</v>
      </c>
    </row>
    <row r="864" spans="6:7" x14ac:dyDescent="0.4">
      <c r="F864">
        <f t="shared" si="27"/>
        <v>0</v>
      </c>
      <c r="G864">
        <f t="shared" si="28"/>
        <v>0</v>
      </c>
    </row>
    <row r="865" spans="6:7" x14ac:dyDescent="0.4">
      <c r="F865">
        <f t="shared" si="27"/>
        <v>0</v>
      </c>
      <c r="G865">
        <f t="shared" si="28"/>
        <v>0</v>
      </c>
    </row>
    <row r="866" spans="6:7" x14ac:dyDescent="0.4">
      <c r="F866">
        <f t="shared" si="27"/>
        <v>0</v>
      </c>
      <c r="G866">
        <f t="shared" si="28"/>
        <v>0</v>
      </c>
    </row>
    <row r="867" spans="6:7" x14ac:dyDescent="0.4">
      <c r="F867">
        <f t="shared" si="27"/>
        <v>0</v>
      </c>
      <c r="G867">
        <f t="shared" si="28"/>
        <v>0</v>
      </c>
    </row>
    <row r="868" spans="6:7" x14ac:dyDescent="0.4">
      <c r="F868">
        <f t="shared" si="27"/>
        <v>0</v>
      </c>
      <c r="G868">
        <f t="shared" si="28"/>
        <v>0</v>
      </c>
    </row>
    <row r="869" spans="6:7" x14ac:dyDescent="0.4">
      <c r="F869">
        <f t="shared" si="27"/>
        <v>0</v>
      </c>
      <c r="G869">
        <f t="shared" si="28"/>
        <v>0</v>
      </c>
    </row>
    <row r="870" spans="6:7" x14ac:dyDescent="0.4">
      <c r="F870">
        <f t="shared" si="27"/>
        <v>0</v>
      </c>
      <c r="G870">
        <f t="shared" si="28"/>
        <v>0</v>
      </c>
    </row>
    <row r="871" spans="6:7" x14ac:dyDescent="0.4">
      <c r="F871">
        <f t="shared" si="27"/>
        <v>0</v>
      </c>
      <c r="G871">
        <f t="shared" si="28"/>
        <v>0</v>
      </c>
    </row>
    <row r="872" spans="6:7" x14ac:dyDescent="0.4">
      <c r="F872">
        <f t="shared" si="27"/>
        <v>0</v>
      </c>
      <c r="G872">
        <f t="shared" si="28"/>
        <v>0</v>
      </c>
    </row>
    <row r="873" spans="6:7" x14ac:dyDescent="0.4">
      <c r="F873">
        <f t="shared" si="27"/>
        <v>0</v>
      </c>
      <c r="G873">
        <f t="shared" si="28"/>
        <v>0</v>
      </c>
    </row>
    <row r="874" spans="6:7" x14ac:dyDescent="0.4">
      <c r="F874">
        <f t="shared" si="27"/>
        <v>0</v>
      </c>
      <c r="G874">
        <f t="shared" si="28"/>
        <v>0</v>
      </c>
    </row>
    <row r="875" spans="6:7" x14ac:dyDescent="0.4">
      <c r="F875">
        <f t="shared" si="27"/>
        <v>0</v>
      </c>
      <c r="G875">
        <f t="shared" si="28"/>
        <v>0</v>
      </c>
    </row>
    <row r="876" spans="6:7" x14ac:dyDescent="0.4">
      <c r="F876">
        <f t="shared" si="27"/>
        <v>0</v>
      </c>
      <c r="G876">
        <f t="shared" si="28"/>
        <v>0</v>
      </c>
    </row>
    <row r="877" spans="6:7" x14ac:dyDescent="0.4">
      <c r="F877">
        <f t="shared" si="27"/>
        <v>0</v>
      </c>
      <c r="G877">
        <f t="shared" si="28"/>
        <v>0</v>
      </c>
    </row>
    <row r="878" spans="6:7" x14ac:dyDescent="0.4">
      <c r="F878">
        <f t="shared" si="27"/>
        <v>0</v>
      </c>
      <c r="G878">
        <f t="shared" si="28"/>
        <v>0</v>
      </c>
    </row>
    <row r="879" spans="6:7" x14ac:dyDescent="0.4">
      <c r="F879">
        <f t="shared" si="27"/>
        <v>0</v>
      </c>
      <c r="G879">
        <f t="shared" si="28"/>
        <v>0</v>
      </c>
    </row>
    <row r="880" spans="6:7" x14ac:dyDescent="0.4">
      <c r="F880">
        <f t="shared" si="27"/>
        <v>0</v>
      </c>
      <c r="G880">
        <f t="shared" si="28"/>
        <v>0</v>
      </c>
    </row>
    <row r="881" spans="6:7" x14ac:dyDescent="0.4">
      <c r="F881">
        <f t="shared" si="27"/>
        <v>0</v>
      </c>
      <c r="G881">
        <f t="shared" si="28"/>
        <v>0</v>
      </c>
    </row>
    <row r="882" spans="6:7" x14ac:dyDescent="0.4">
      <c r="F882">
        <f t="shared" si="27"/>
        <v>0</v>
      </c>
      <c r="G882">
        <f t="shared" si="28"/>
        <v>0</v>
      </c>
    </row>
    <row r="883" spans="6:7" x14ac:dyDescent="0.4">
      <c r="F883">
        <f t="shared" si="27"/>
        <v>0</v>
      </c>
      <c r="G883">
        <f t="shared" si="28"/>
        <v>0</v>
      </c>
    </row>
    <row r="884" spans="6:7" x14ac:dyDescent="0.4">
      <c r="F884">
        <f t="shared" si="27"/>
        <v>0</v>
      </c>
      <c r="G884">
        <f t="shared" si="28"/>
        <v>0</v>
      </c>
    </row>
    <row r="885" spans="6:7" x14ac:dyDescent="0.4">
      <c r="F885">
        <f t="shared" si="27"/>
        <v>0</v>
      </c>
      <c r="G885">
        <f t="shared" si="28"/>
        <v>0</v>
      </c>
    </row>
    <row r="886" spans="6:7" x14ac:dyDescent="0.4">
      <c r="F886">
        <f t="shared" si="27"/>
        <v>0</v>
      </c>
      <c r="G886">
        <f t="shared" si="28"/>
        <v>0</v>
      </c>
    </row>
    <row r="887" spans="6:7" x14ac:dyDescent="0.4">
      <c r="F887">
        <f t="shared" si="27"/>
        <v>0</v>
      </c>
      <c r="G887">
        <f t="shared" si="28"/>
        <v>0</v>
      </c>
    </row>
    <row r="888" spans="6:7" x14ac:dyDescent="0.4">
      <c r="F888">
        <f t="shared" si="27"/>
        <v>0</v>
      </c>
      <c r="G888">
        <f t="shared" si="28"/>
        <v>0</v>
      </c>
    </row>
    <row r="889" spans="6:7" x14ac:dyDescent="0.4">
      <c r="F889">
        <f t="shared" si="27"/>
        <v>0</v>
      </c>
      <c r="G889">
        <f t="shared" si="28"/>
        <v>0</v>
      </c>
    </row>
    <row r="890" spans="6:7" x14ac:dyDescent="0.4">
      <c r="F890">
        <f t="shared" si="27"/>
        <v>0</v>
      </c>
      <c r="G890">
        <f t="shared" si="28"/>
        <v>0</v>
      </c>
    </row>
    <row r="891" spans="6:7" x14ac:dyDescent="0.4">
      <c r="F891">
        <f t="shared" si="27"/>
        <v>0</v>
      </c>
      <c r="G891">
        <f t="shared" si="28"/>
        <v>0</v>
      </c>
    </row>
    <row r="892" spans="6:7" x14ac:dyDescent="0.4">
      <c r="F892">
        <f t="shared" si="27"/>
        <v>0</v>
      </c>
      <c r="G892">
        <f t="shared" si="28"/>
        <v>0</v>
      </c>
    </row>
    <row r="893" spans="6:7" x14ac:dyDescent="0.4">
      <c r="F893">
        <f t="shared" si="27"/>
        <v>0</v>
      </c>
      <c r="G893">
        <f t="shared" si="28"/>
        <v>0</v>
      </c>
    </row>
    <row r="894" spans="6:7" x14ac:dyDescent="0.4">
      <c r="F894">
        <f t="shared" si="27"/>
        <v>0</v>
      </c>
      <c r="G894">
        <f t="shared" si="28"/>
        <v>0</v>
      </c>
    </row>
    <row r="895" spans="6:7" x14ac:dyDescent="0.4">
      <c r="F895">
        <f t="shared" si="27"/>
        <v>0</v>
      </c>
      <c r="G895">
        <f t="shared" si="28"/>
        <v>0</v>
      </c>
    </row>
    <row r="896" spans="6:7" x14ac:dyDescent="0.4">
      <c r="F896">
        <f t="shared" si="27"/>
        <v>0</v>
      </c>
      <c r="G896">
        <f t="shared" si="28"/>
        <v>0</v>
      </c>
    </row>
    <row r="897" spans="6:7" x14ac:dyDescent="0.4">
      <c r="F897">
        <f t="shared" si="27"/>
        <v>0</v>
      </c>
      <c r="G897">
        <f t="shared" si="28"/>
        <v>0</v>
      </c>
    </row>
    <row r="898" spans="6:7" x14ac:dyDescent="0.4">
      <c r="F898">
        <f t="shared" si="27"/>
        <v>0</v>
      </c>
      <c r="G898">
        <f t="shared" si="28"/>
        <v>0</v>
      </c>
    </row>
    <row r="899" spans="6:7" x14ac:dyDescent="0.4">
      <c r="F899">
        <f t="shared" ref="F899:F962" si="29">E899*D899</f>
        <v>0</v>
      </c>
      <c r="G899">
        <f t="shared" ref="G899:G962" si="30">F899-(F899*0.3)</f>
        <v>0</v>
      </c>
    </row>
    <row r="900" spans="6:7" x14ac:dyDescent="0.4">
      <c r="F900">
        <f t="shared" si="29"/>
        <v>0</v>
      </c>
      <c r="G900">
        <f t="shared" si="30"/>
        <v>0</v>
      </c>
    </row>
    <row r="901" spans="6:7" x14ac:dyDescent="0.4">
      <c r="F901">
        <f t="shared" si="29"/>
        <v>0</v>
      </c>
      <c r="G901">
        <f t="shared" si="30"/>
        <v>0</v>
      </c>
    </row>
    <row r="902" spans="6:7" x14ac:dyDescent="0.4">
      <c r="F902">
        <f t="shared" si="29"/>
        <v>0</v>
      </c>
      <c r="G902">
        <f t="shared" si="30"/>
        <v>0</v>
      </c>
    </row>
    <row r="903" spans="6:7" x14ac:dyDescent="0.4">
      <c r="F903">
        <f t="shared" si="29"/>
        <v>0</v>
      </c>
      <c r="G903">
        <f t="shared" si="30"/>
        <v>0</v>
      </c>
    </row>
    <row r="904" spans="6:7" x14ac:dyDescent="0.4">
      <c r="F904">
        <f t="shared" si="29"/>
        <v>0</v>
      </c>
      <c r="G904">
        <f t="shared" si="30"/>
        <v>0</v>
      </c>
    </row>
    <row r="905" spans="6:7" x14ac:dyDescent="0.4">
      <c r="F905">
        <f t="shared" si="29"/>
        <v>0</v>
      </c>
      <c r="G905">
        <f t="shared" si="30"/>
        <v>0</v>
      </c>
    </row>
    <row r="906" spans="6:7" x14ac:dyDescent="0.4">
      <c r="F906">
        <f t="shared" si="29"/>
        <v>0</v>
      </c>
      <c r="G906">
        <f t="shared" si="30"/>
        <v>0</v>
      </c>
    </row>
    <row r="907" spans="6:7" x14ac:dyDescent="0.4">
      <c r="F907">
        <f t="shared" si="29"/>
        <v>0</v>
      </c>
      <c r="G907">
        <f t="shared" si="30"/>
        <v>0</v>
      </c>
    </row>
    <row r="908" spans="6:7" x14ac:dyDescent="0.4">
      <c r="F908">
        <f t="shared" si="29"/>
        <v>0</v>
      </c>
      <c r="G908">
        <f t="shared" si="30"/>
        <v>0</v>
      </c>
    </row>
    <row r="909" spans="6:7" x14ac:dyDescent="0.4">
      <c r="F909">
        <f t="shared" si="29"/>
        <v>0</v>
      </c>
      <c r="G909">
        <f t="shared" si="30"/>
        <v>0</v>
      </c>
    </row>
    <row r="910" spans="6:7" x14ac:dyDescent="0.4">
      <c r="F910">
        <f t="shared" si="29"/>
        <v>0</v>
      </c>
      <c r="G910">
        <f t="shared" si="30"/>
        <v>0</v>
      </c>
    </row>
    <row r="911" spans="6:7" x14ac:dyDescent="0.4">
      <c r="F911">
        <f t="shared" si="29"/>
        <v>0</v>
      </c>
      <c r="G911">
        <f t="shared" si="30"/>
        <v>0</v>
      </c>
    </row>
    <row r="912" spans="6:7" x14ac:dyDescent="0.4">
      <c r="F912">
        <f t="shared" si="29"/>
        <v>0</v>
      </c>
      <c r="G912">
        <f t="shared" si="30"/>
        <v>0</v>
      </c>
    </row>
    <row r="913" spans="6:7" x14ac:dyDescent="0.4">
      <c r="F913">
        <f t="shared" si="29"/>
        <v>0</v>
      </c>
      <c r="G913">
        <f t="shared" si="30"/>
        <v>0</v>
      </c>
    </row>
    <row r="914" spans="6:7" x14ac:dyDescent="0.4">
      <c r="F914">
        <f t="shared" si="29"/>
        <v>0</v>
      </c>
      <c r="G914">
        <f t="shared" si="30"/>
        <v>0</v>
      </c>
    </row>
    <row r="915" spans="6:7" x14ac:dyDescent="0.4">
      <c r="F915">
        <f t="shared" si="29"/>
        <v>0</v>
      </c>
      <c r="G915">
        <f t="shared" si="30"/>
        <v>0</v>
      </c>
    </row>
    <row r="916" spans="6:7" x14ac:dyDescent="0.4">
      <c r="F916">
        <f t="shared" si="29"/>
        <v>0</v>
      </c>
      <c r="G916">
        <f t="shared" si="30"/>
        <v>0</v>
      </c>
    </row>
    <row r="917" spans="6:7" x14ac:dyDescent="0.4">
      <c r="F917">
        <f t="shared" si="29"/>
        <v>0</v>
      </c>
      <c r="G917">
        <f t="shared" si="30"/>
        <v>0</v>
      </c>
    </row>
    <row r="918" spans="6:7" x14ac:dyDescent="0.4">
      <c r="F918">
        <f t="shared" si="29"/>
        <v>0</v>
      </c>
      <c r="G918">
        <f t="shared" si="30"/>
        <v>0</v>
      </c>
    </row>
    <row r="919" spans="6:7" x14ac:dyDescent="0.4">
      <c r="F919">
        <f t="shared" si="29"/>
        <v>0</v>
      </c>
      <c r="G919">
        <f t="shared" si="30"/>
        <v>0</v>
      </c>
    </row>
    <row r="920" spans="6:7" x14ac:dyDescent="0.4">
      <c r="F920">
        <f t="shared" si="29"/>
        <v>0</v>
      </c>
      <c r="G920">
        <f t="shared" si="30"/>
        <v>0</v>
      </c>
    </row>
    <row r="921" spans="6:7" x14ac:dyDescent="0.4">
      <c r="F921">
        <f t="shared" si="29"/>
        <v>0</v>
      </c>
      <c r="G921">
        <f t="shared" si="30"/>
        <v>0</v>
      </c>
    </row>
    <row r="922" spans="6:7" x14ac:dyDescent="0.4">
      <c r="F922">
        <f t="shared" si="29"/>
        <v>0</v>
      </c>
      <c r="G922">
        <f t="shared" si="30"/>
        <v>0</v>
      </c>
    </row>
    <row r="923" spans="6:7" x14ac:dyDescent="0.4">
      <c r="F923">
        <f t="shared" si="29"/>
        <v>0</v>
      </c>
      <c r="G923">
        <f t="shared" si="30"/>
        <v>0</v>
      </c>
    </row>
    <row r="924" spans="6:7" x14ac:dyDescent="0.4">
      <c r="F924">
        <f t="shared" si="29"/>
        <v>0</v>
      </c>
      <c r="G924">
        <f t="shared" si="30"/>
        <v>0</v>
      </c>
    </row>
    <row r="925" spans="6:7" x14ac:dyDescent="0.4">
      <c r="F925">
        <f t="shared" si="29"/>
        <v>0</v>
      </c>
      <c r="G925">
        <f t="shared" si="30"/>
        <v>0</v>
      </c>
    </row>
    <row r="926" spans="6:7" x14ac:dyDescent="0.4">
      <c r="F926">
        <f t="shared" si="29"/>
        <v>0</v>
      </c>
      <c r="G926">
        <f t="shared" si="30"/>
        <v>0</v>
      </c>
    </row>
    <row r="927" spans="6:7" x14ac:dyDescent="0.4">
      <c r="F927">
        <f t="shared" si="29"/>
        <v>0</v>
      </c>
      <c r="G927">
        <f t="shared" si="30"/>
        <v>0</v>
      </c>
    </row>
    <row r="928" spans="6:7" x14ac:dyDescent="0.4">
      <c r="F928">
        <f t="shared" si="29"/>
        <v>0</v>
      </c>
      <c r="G928">
        <f t="shared" si="30"/>
        <v>0</v>
      </c>
    </row>
    <row r="929" spans="6:7" x14ac:dyDescent="0.4">
      <c r="F929">
        <f t="shared" si="29"/>
        <v>0</v>
      </c>
      <c r="G929">
        <f t="shared" si="30"/>
        <v>0</v>
      </c>
    </row>
    <row r="930" spans="6:7" x14ac:dyDescent="0.4">
      <c r="F930">
        <f t="shared" si="29"/>
        <v>0</v>
      </c>
      <c r="G930">
        <f t="shared" si="30"/>
        <v>0</v>
      </c>
    </row>
    <row r="931" spans="6:7" x14ac:dyDescent="0.4">
      <c r="F931">
        <f t="shared" si="29"/>
        <v>0</v>
      </c>
      <c r="G931">
        <f t="shared" si="30"/>
        <v>0</v>
      </c>
    </row>
    <row r="932" spans="6:7" x14ac:dyDescent="0.4">
      <c r="F932">
        <f t="shared" si="29"/>
        <v>0</v>
      </c>
      <c r="G932">
        <f t="shared" si="30"/>
        <v>0</v>
      </c>
    </row>
    <row r="933" spans="6:7" x14ac:dyDescent="0.4">
      <c r="F933">
        <f t="shared" si="29"/>
        <v>0</v>
      </c>
      <c r="G933">
        <f t="shared" si="30"/>
        <v>0</v>
      </c>
    </row>
    <row r="934" spans="6:7" x14ac:dyDescent="0.4">
      <c r="F934">
        <f t="shared" si="29"/>
        <v>0</v>
      </c>
      <c r="G934">
        <f t="shared" si="30"/>
        <v>0</v>
      </c>
    </row>
    <row r="935" spans="6:7" x14ac:dyDescent="0.4">
      <c r="F935">
        <f t="shared" si="29"/>
        <v>0</v>
      </c>
      <c r="G935">
        <f t="shared" si="30"/>
        <v>0</v>
      </c>
    </row>
    <row r="936" spans="6:7" x14ac:dyDescent="0.4">
      <c r="F936">
        <f t="shared" si="29"/>
        <v>0</v>
      </c>
      <c r="G936">
        <f t="shared" si="30"/>
        <v>0</v>
      </c>
    </row>
    <row r="937" spans="6:7" x14ac:dyDescent="0.4">
      <c r="F937">
        <f t="shared" si="29"/>
        <v>0</v>
      </c>
      <c r="G937">
        <f t="shared" si="30"/>
        <v>0</v>
      </c>
    </row>
    <row r="938" spans="6:7" x14ac:dyDescent="0.4">
      <c r="F938">
        <f t="shared" si="29"/>
        <v>0</v>
      </c>
      <c r="G938">
        <f t="shared" si="30"/>
        <v>0</v>
      </c>
    </row>
    <row r="939" spans="6:7" x14ac:dyDescent="0.4">
      <c r="F939">
        <f t="shared" si="29"/>
        <v>0</v>
      </c>
      <c r="G939">
        <f t="shared" si="30"/>
        <v>0</v>
      </c>
    </row>
    <row r="940" spans="6:7" x14ac:dyDescent="0.4">
      <c r="F940">
        <f t="shared" si="29"/>
        <v>0</v>
      </c>
      <c r="G940">
        <f t="shared" si="30"/>
        <v>0</v>
      </c>
    </row>
    <row r="941" spans="6:7" x14ac:dyDescent="0.4">
      <c r="F941">
        <f t="shared" si="29"/>
        <v>0</v>
      </c>
      <c r="G941">
        <f t="shared" si="30"/>
        <v>0</v>
      </c>
    </row>
    <row r="942" spans="6:7" x14ac:dyDescent="0.4">
      <c r="F942">
        <f t="shared" si="29"/>
        <v>0</v>
      </c>
      <c r="G942">
        <f t="shared" si="30"/>
        <v>0</v>
      </c>
    </row>
    <row r="943" spans="6:7" x14ac:dyDescent="0.4">
      <c r="F943">
        <f t="shared" si="29"/>
        <v>0</v>
      </c>
      <c r="G943">
        <f t="shared" si="30"/>
        <v>0</v>
      </c>
    </row>
    <row r="944" spans="6:7" x14ac:dyDescent="0.4">
      <c r="F944">
        <f t="shared" si="29"/>
        <v>0</v>
      </c>
      <c r="G944">
        <f t="shared" si="30"/>
        <v>0</v>
      </c>
    </row>
    <row r="945" spans="6:7" x14ac:dyDescent="0.4">
      <c r="F945">
        <f t="shared" si="29"/>
        <v>0</v>
      </c>
      <c r="G945">
        <f t="shared" si="30"/>
        <v>0</v>
      </c>
    </row>
    <row r="946" spans="6:7" x14ac:dyDescent="0.4">
      <c r="F946">
        <f t="shared" si="29"/>
        <v>0</v>
      </c>
      <c r="G946">
        <f t="shared" si="30"/>
        <v>0</v>
      </c>
    </row>
    <row r="947" spans="6:7" x14ac:dyDescent="0.4">
      <c r="F947">
        <f t="shared" si="29"/>
        <v>0</v>
      </c>
      <c r="G947">
        <f t="shared" si="30"/>
        <v>0</v>
      </c>
    </row>
    <row r="948" spans="6:7" x14ac:dyDescent="0.4">
      <c r="F948">
        <f t="shared" si="29"/>
        <v>0</v>
      </c>
      <c r="G948">
        <f t="shared" si="30"/>
        <v>0</v>
      </c>
    </row>
    <row r="949" spans="6:7" x14ac:dyDescent="0.4">
      <c r="F949">
        <f t="shared" si="29"/>
        <v>0</v>
      </c>
      <c r="G949">
        <f t="shared" si="30"/>
        <v>0</v>
      </c>
    </row>
    <row r="950" spans="6:7" x14ac:dyDescent="0.4">
      <c r="F950">
        <f t="shared" si="29"/>
        <v>0</v>
      </c>
      <c r="G950">
        <f t="shared" si="30"/>
        <v>0</v>
      </c>
    </row>
    <row r="951" spans="6:7" x14ac:dyDescent="0.4">
      <c r="F951">
        <f t="shared" si="29"/>
        <v>0</v>
      </c>
      <c r="G951">
        <f t="shared" si="30"/>
        <v>0</v>
      </c>
    </row>
    <row r="952" spans="6:7" x14ac:dyDescent="0.4">
      <c r="F952">
        <f t="shared" si="29"/>
        <v>0</v>
      </c>
      <c r="G952">
        <f t="shared" si="30"/>
        <v>0</v>
      </c>
    </row>
    <row r="953" spans="6:7" x14ac:dyDescent="0.4">
      <c r="F953">
        <f t="shared" si="29"/>
        <v>0</v>
      </c>
      <c r="G953">
        <f t="shared" si="30"/>
        <v>0</v>
      </c>
    </row>
    <row r="954" spans="6:7" x14ac:dyDescent="0.4">
      <c r="F954">
        <f t="shared" si="29"/>
        <v>0</v>
      </c>
      <c r="G954">
        <f t="shared" si="30"/>
        <v>0</v>
      </c>
    </row>
    <row r="955" spans="6:7" x14ac:dyDescent="0.4">
      <c r="F955">
        <f t="shared" si="29"/>
        <v>0</v>
      </c>
      <c r="G955">
        <f t="shared" si="30"/>
        <v>0</v>
      </c>
    </row>
    <row r="956" spans="6:7" x14ac:dyDescent="0.4">
      <c r="F956">
        <f t="shared" si="29"/>
        <v>0</v>
      </c>
      <c r="G956">
        <f t="shared" si="30"/>
        <v>0</v>
      </c>
    </row>
    <row r="957" spans="6:7" x14ac:dyDescent="0.4">
      <c r="F957">
        <f t="shared" si="29"/>
        <v>0</v>
      </c>
      <c r="G957">
        <f t="shared" si="30"/>
        <v>0</v>
      </c>
    </row>
    <row r="958" spans="6:7" x14ac:dyDescent="0.4">
      <c r="F958">
        <f t="shared" si="29"/>
        <v>0</v>
      </c>
      <c r="G958">
        <f t="shared" si="30"/>
        <v>0</v>
      </c>
    </row>
    <row r="959" spans="6:7" x14ac:dyDescent="0.4">
      <c r="F959">
        <f t="shared" si="29"/>
        <v>0</v>
      </c>
      <c r="G959">
        <f t="shared" si="30"/>
        <v>0</v>
      </c>
    </row>
    <row r="960" spans="6:7" x14ac:dyDescent="0.4">
      <c r="F960">
        <f t="shared" si="29"/>
        <v>0</v>
      </c>
      <c r="G960">
        <f t="shared" si="30"/>
        <v>0</v>
      </c>
    </row>
    <row r="961" spans="6:7" x14ac:dyDescent="0.4">
      <c r="F961">
        <f t="shared" si="29"/>
        <v>0</v>
      </c>
      <c r="G961">
        <f t="shared" si="30"/>
        <v>0</v>
      </c>
    </row>
    <row r="962" spans="6:7" x14ac:dyDescent="0.4">
      <c r="F962">
        <f t="shared" si="29"/>
        <v>0</v>
      </c>
      <c r="G962">
        <f t="shared" si="30"/>
        <v>0</v>
      </c>
    </row>
    <row r="963" spans="6:7" x14ac:dyDescent="0.4">
      <c r="F963">
        <f t="shared" ref="F963:F1026" si="31">E963*D963</f>
        <v>0</v>
      </c>
      <c r="G963">
        <f t="shared" ref="G963:G1026" si="32">F963-(F963*0.3)</f>
        <v>0</v>
      </c>
    </row>
    <row r="964" spans="6:7" x14ac:dyDescent="0.4">
      <c r="F964">
        <f t="shared" si="31"/>
        <v>0</v>
      </c>
      <c r="G964">
        <f t="shared" si="32"/>
        <v>0</v>
      </c>
    </row>
    <row r="965" spans="6:7" x14ac:dyDescent="0.4">
      <c r="F965">
        <f t="shared" si="31"/>
        <v>0</v>
      </c>
      <c r="G965">
        <f t="shared" si="32"/>
        <v>0</v>
      </c>
    </row>
    <row r="966" spans="6:7" x14ac:dyDescent="0.4">
      <c r="F966">
        <f t="shared" si="31"/>
        <v>0</v>
      </c>
      <c r="G966">
        <f t="shared" si="32"/>
        <v>0</v>
      </c>
    </row>
    <row r="967" spans="6:7" x14ac:dyDescent="0.4">
      <c r="F967">
        <f t="shared" si="31"/>
        <v>0</v>
      </c>
      <c r="G967">
        <f t="shared" si="32"/>
        <v>0</v>
      </c>
    </row>
    <row r="968" spans="6:7" x14ac:dyDescent="0.4">
      <c r="F968">
        <f t="shared" si="31"/>
        <v>0</v>
      </c>
      <c r="G968">
        <f t="shared" si="32"/>
        <v>0</v>
      </c>
    </row>
    <row r="969" spans="6:7" x14ac:dyDescent="0.4">
      <c r="F969">
        <f t="shared" si="31"/>
        <v>0</v>
      </c>
      <c r="G969">
        <f t="shared" si="32"/>
        <v>0</v>
      </c>
    </row>
    <row r="970" spans="6:7" x14ac:dyDescent="0.4">
      <c r="F970">
        <f t="shared" si="31"/>
        <v>0</v>
      </c>
      <c r="G970">
        <f t="shared" si="32"/>
        <v>0</v>
      </c>
    </row>
    <row r="971" spans="6:7" x14ac:dyDescent="0.4">
      <c r="F971">
        <f t="shared" si="31"/>
        <v>0</v>
      </c>
      <c r="G971">
        <f t="shared" si="32"/>
        <v>0</v>
      </c>
    </row>
    <row r="972" spans="6:7" x14ac:dyDescent="0.4">
      <c r="F972">
        <f t="shared" si="31"/>
        <v>0</v>
      </c>
      <c r="G972">
        <f t="shared" si="32"/>
        <v>0</v>
      </c>
    </row>
    <row r="973" spans="6:7" x14ac:dyDescent="0.4">
      <c r="F973">
        <f t="shared" si="31"/>
        <v>0</v>
      </c>
      <c r="G973">
        <f t="shared" si="32"/>
        <v>0</v>
      </c>
    </row>
    <row r="974" spans="6:7" x14ac:dyDescent="0.4">
      <c r="F974">
        <f t="shared" si="31"/>
        <v>0</v>
      </c>
      <c r="G974">
        <f t="shared" si="32"/>
        <v>0</v>
      </c>
    </row>
    <row r="975" spans="6:7" x14ac:dyDescent="0.4">
      <c r="F975">
        <f t="shared" si="31"/>
        <v>0</v>
      </c>
      <c r="G975">
        <f t="shared" si="32"/>
        <v>0</v>
      </c>
    </row>
    <row r="976" spans="6:7" x14ac:dyDescent="0.4">
      <c r="F976">
        <f t="shared" si="31"/>
        <v>0</v>
      </c>
      <c r="G976">
        <f t="shared" si="32"/>
        <v>0</v>
      </c>
    </row>
    <row r="977" spans="6:7" x14ac:dyDescent="0.4">
      <c r="F977">
        <f t="shared" si="31"/>
        <v>0</v>
      </c>
      <c r="G977">
        <f t="shared" si="32"/>
        <v>0</v>
      </c>
    </row>
    <row r="978" spans="6:7" x14ac:dyDescent="0.4">
      <c r="F978">
        <f t="shared" si="31"/>
        <v>0</v>
      </c>
      <c r="G978">
        <f t="shared" si="32"/>
        <v>0</v>
      </c>
    </row>
    <row r="979" spans="6:7" x14ac:dyDescent="0.4">
      <c r="F979">
        <f t="shared" si="31"/>
        <v>0</v>
      </c>
      <c r="G979">
        <f t="shared" si="32"/>
        <v>0</v>
      </c>
    </row>
    <row r="980" spans="6:7" x14ac:dyDescent="0.4">
      <c r="F980">
        <f t="shared" si="31"/>
        <v>0</v>
      </c>
      <c r="G980">
        <f t="shared" si="32"/>
        <v>0</v>
      </c>
    </row>
    <row r="981" spans="6:7" x14ac:dyDescent="0.4">
      <c r="F981">
        <f t="shared" si="31"/>
        <v>0</v>
      </c>
      <c r="G981">
        <f t="shared" si="32"/>
        <v>0</v>
      </c>
    </row>
    <row r="982" spans="6:7" x14ac:dyDescent="0.4">
      <c r="F982">
        <f t="shared" si="31"/>
        <v>0</v>
      </c>
      <c r="G982">
        <f t="shared" si="32"/>
        <v>0</v>
      </c>
    </row>
    <row r="983" spans="6:7" x14ac:dyDescent="0.4">
      <c r="F983">
        <f t="shared" si="31"/>
        <v>0</v>
      </c>
      <c r="G983">
        <f t="shared" si="32"/>
        <v>0</v>
      </c>
    </row>
    <row r="984" spans="6:7" x14ac:dyDescent="0.4">
      <c r="F984">
        <f t="shared" si="31"/>
        <v>0</v>
      </c>
      <c r="G984">
        <f t="shared" si="32"/>
        <v>0</v>
      </c>
    </row>
    <row r="985" spans="6:7" x14ac:dyDescent="0.4">
      <c r="F985">
        <f t="shared" si="31"/>
        <v>0</v>
      </c>
      <c r="G985">
        <f t="shared" si="32"/>
        <v>0</v>
      </c>
    </row>
    <row r="986" spans="6:7" x14ac:dyDescent="0.4">
      <c r="F986">
        <f t="shared" si="31"/>
        <v>0</v>
      </c>
      <c r="G986">
        <f t="shared" si="32"/>
        <v>0</v>
      </c>
    </row>
    <row r="987" spans="6:7" x14ac:dyDescent="0.4">
      <c r="F987">
        <f t="shared" si="31"/>
        <v>0</v>
      </c>
      <c r="G987">
        <f t="shared" si="32"/>
        <v>0</v>
      </c>
    </row>
    <row r="988" spans="6:7" x14ac:dyDescent="0.4">
      <c r="F988">
        <f t="shared" si="31"/>
        <v>0</v>
      </c>
      <c r="G988">
        <f t="shared" si="32"/>
        <v>0</v>
      </c>
    </row>
    <row r="989" spans="6:7" x14ac:dyDescent="0.4">
      <c r="F989">
        <f t="shared" si="31"/>
        <v>0</v>
      </c>
      <c r="G989">
        <f t="shared" si="32"/>
        <v>0</v>
      </c>
    </row>
    <row r="990" spans="6:7" x14ac:dyDescent="0.4">
      <c r="F990">
        <f t="shared" si="31"/>
        <v>0</v>
      </c>
      <c r="G990">
        <f t="shared" si="32"/>
        <v>0</v>
      </c>
    </row>
    <row r="991" spans="6:7" x14ac:dyDescent="0.4">
      <c r="F991">
        <f t="shared" si="31"/>
        <v>0</v>
      </c>
      <c r="G991">
        <f t="shared" si="32"/>
        <v>0</v>
      </c>
    </row>
    <row r="992" spans="6:7" x14ac:dyDescent="0.4">
      <c r="F992">
        <f t="shared" si="31"/>
        <v>0</v>
      </c>
      <c r="G992">
        <f t="shared" si="32"/>
        <v>0</v>
      </c>
    </row>
    <row r="993" spans="6:7" x14ac:dyDescent="0.4">
      <c r="F993">
        <f t="shared" si="31"/>
        <v>0</v>
      </c>
      <c r="G993">
        <f t="shared" si="32"/>
        <v>0</v>
      </c>
    </row>
    <row r="994" spans="6:7" x14ac:dyDescent="0.4">
      <c r="F994">
        <f t="shared" si="31"/>
        <v>0</v>
      </c>
      <c r="G994">
        <f t="shared" si="32"/>
        <v>0</v>
      </c>
    </row>
    <row r="995" spans="6:7" x14ac:dyDescent="0.4">
      <c r="F995">
        <f t="shared" si="31"/>
        <v>0</v>
      </c>
      <c r="G995">
        <f t="shared" si="32"/>
        <v>0</v>
      </c>
    </row>
    <row r="996" spans="6:7" x14ac:dyDescent="0.4">
      <c r="F996">
        <f t="shared" si="31"/>
        <v>0</v>
      </c>
      <c r="G996">
        <f t="shared" si="32"/>
        <v>0</v>
      </c>
    </row>
    <row r="997" spans="6:7" x14ac:dyDescent="0.4">
      <c r="F997">
        <f t="shared" si="31"/>
        <v>0</v>
      </c>
      <c r="G997">
        <f t="shared" si="32"/>
        <v>0</v>
      </c>
    </row>
    <row r="998" spans="6:7" x14ac:dyDescent="0.4">
      <c r="F998">
        <f t="shared" si="31"/>
        <v>0</v>
      </c>
      <c r="G998">
        <f t="shared" si="32"/>
        <v>0</v>
      </c>
    </row>
    <row r="999" spans="6:7" x14ac:dyDescent="0.4">
      <c r="F999">
        <f t="shared" si="31"/>
        <v>0</v>
      </c>
      <c r="G999">
        <f t="shared" si="32"/>
        <v>0</v>
      </c>
    </row>
    <row r="1000" spans="6:7" x14ac:dyDescent="0.4">
      <c r="F1000">
        <f t="shared" si="31"/>
        <v>0</v>
      </c>
      <c r="G1000">
        <f t="shared" si="32"/>
        <v>0</v>
      </c>
    </row>
    <row r="1001" spans="6:7" x14ac:dyDescent="0.4">
      <c r="F1001">
        <f t="shared" si="31"/>
        <v>0</v>
      </c>
      <c r="G1001">
        <f t="shared" si="32"/>
        <v>0</v>
      </c>
    </row>
    <row r="1002" spans="6:7" x14ac:dyDescent="0.4">
      <c r="F1002">
        <f t="shared" si="31"/>
        <v>0</v>
      </c>
      <c r="G1002">
        <f t="shared" si="32"/>
        <v>0</v>
      </c>
    </row>
    <row r="1003" spans="6:7" x14ac:dyDescent="0.4">
      <c r="F1003">
        <f t="shared" si="31"/>
        <v>0</v>
      </c>
      <c r="G1003">
        <f t="shared" si="32"/>
        <v>0</v>
      </c>
    </row>
    <row r="1004" spans="6:7" x14ac:dyDescent="0.4">
      <c r="F1004">
        <f t="shared" si="31"/>
        <v>0</v>
      </c>
      <c r="G1004">
        <f t="shared" si="32"/>
        <v>0</v>
      </c>
    </row>
    <row r="1005" spans="6:7" x14ac:dyDescent="0.4">
      <c r="F1005">
        <f t="shared" si="31"/>
        <v>0</v>
      </c>
      <c r="G1005">
        <f t="shared" si="32"/>
        <v>0</v>
      </c>
    </row>
    <row r="1006" spans="6:7" x14ac:dyDescent="0.4">
      <c r="F1006">
        <f t="shared" si="31"/>
        <v>0</v>
      </c>
      <c r="G1006">
        <f t="shared" si="32"/>
        <v>0</v>
      </c>
    </row>
    <row r="1007" spans="6:7" x14ac:dyDescent="0.4">
      <c r="F1007">
        <f t="shared" si="31"/>
        <v>0</v>
      </c>
      <c r="G1007">
        <f t="shared" si="32"/>
        <v>0</v>
      </c>
    </row>
    <row r="1008" spans="6:7" x14ac:dyDescent="0.4">
      <c r="F1008">
        <f t="shared" si="31"/>
        <v>0</v>
      </c>
      <c r="G1008">
        <f t="shared" si="32"/>
        <v>0</v>
      </c>
    </row>
    <row r="1009" spans="6:7" x14ac:dyDescent="0.4">
      <c r="F1009">
        <f t="shared" si="31"/>
        <v>0</v>
      </c>
      <c r="G1009">
        <f t="shared" si="32"/>
        <v>0</v>
      </c>
    </row>
    <row r="1010" spans="6:7" x14ac:dyDescent="0.4">
      <c r="F1010">
        <f t="shared" si="31"/>
        <v>0</v>
      </c>
      <c r="G1010">
        <f t="shared" si="32"/>
        <v>0</v>
      </c>
    </row>
    <row r="1011" spans="6:7" x14ac:dyDescent="0.4">
      <c r="F1011">
        <f t="shared" si="31"/>
        <v>0</v>
      </c>
      <c r="G1011">
        <f t="shared" si="32"/>
        <v>0</v>
      </c>
    </row>
    <row r="1012" spans="6:7" x14ac:dyDescent="0.4">
      <c r="F1012">
        <f t="shared" si="31"/>
        <v>0</v>
      </c>
      <c r="G1012">
        <f t="shared" si="32"/>
        <v>0</v>
      </c>
    </row>
    <row r="1013" spans="6:7" x14ac:dyDescent="0.4">
      <c r="F1013">
        <f t="shared" si="31"/>
        <v>0</v>
      </c>
      <c r="G1013">
        <f t="shared" si="32"/>
        <v>0</v>
      </c>
    </row>
    <row r="1014" spans="6:7" x14ac:dyDescent="0.4">
      <c r="F1014">
        <f t="shared" si="31"/>
        <v>0</v>
      </c>
      <c r="G1014">
        <f t="shared" si="32"/>
        <v>0</v>
      </c>
    </row>
    <row r="1015" spans="6:7" x14ac:dyDescent="0.4">
      <c r="F1015">
        <f t="shared" si="31"/>
        <v>0</v>
      </c>
      <c r="G1015">
        <f t="shared" si="32"/>
        <v>0</v>
      </c>
    </row>
    <row r="1016" spans="6:7" x14ac:dyDescent="0.4">
      <c r="F1016">
        <f t="shared" si="31"/>
        <v>0</v>
      </c>
      <c r="G1016">
        <f t="shared" si="32"/>
        <v>0</v>
      </c>
    </row>
    <row r="1017" spans="6:7" x14ac:dyDescent="0.4">
      <c r="F1017">
        <f t="shared" si="31"/>
        <v>0</v>
      </c>
      <c r="G1017">
        <f t="shared" si="32"/>
        <v>0</v>
      </c>
    </row>
    <row r="1018" spans="6:7" x14ac:dyDescent="0.4">
      <c r="F1018">
        <f t="shared" si="31"/>
        <v>0</v>
      </c>
      <c r="G1018">
        <f t="shared" si="32"/>
        <v>0</v>
      </c>
    </row>
    <row r="1019" spans="6:7" x14ac:dyDescent="0.4">
      <c r="F1019">
        <f t="shared" si="31"/>
        <v>0</v>
      </c>
      <c r="G1019">
        <f t="shared" si="32"/>
        <v>0</v>
      </c>
    </row>
    <row r="1020" spans="6:7" x14ac:dyDescent="0.4">
      <c r="F1020">
        <f t="shared" si="31"/>
        <v>0</v>
      </c>
      <c r="G1020">
        <f t="shared" si="32"/>
        <v>0</v>
      </c>
    </row>
    <row r="1021" spans="6:7" x14ac:dyDescent="0.4">
      <c r="F1021">
        <f t="shared" si="31"/>
        <v>0</v>
      </c>
      <c r="G1021">
        <f t="shared" si="32"/>
        <v>0</v>
      </c>
    </row>
    <row r="1022" spans="6:7" x14ac:dyDescent="0.4">
      <c r="F1022">
        <f t="shared" si="31"/>
        <v>0</v>
      </c>
      <c r="G1022">
        <f t="shared" si="32"/>
        <v>0</v>
      </c>
    </row>
    <row r="1023" spans="6:7" x14ac:dyDescent="0.4">
      <c r="F1023">
        <f t="shared" si="31"/>
        <v>0</v>
      </c>
      <c r="G1023">
        <f t="shared" si="32"/>
        <v>0</v>
      </c>
    </row>
    <row r="1024" spans="6:7" x14ac:dyDescent="0.4">
      <c r="F1024">
        <f t="shared" si="31"/>
        <v>0</v>
      </c>
      <c r="G1024">
        <f t="shared" si="32"/>
        <v>0</v>
      </c>
    </row>
    <row r="1025" spans="6:7" x14ac:dyDescent="0.4">
      <c r="F1025">
        <f t="shared" si="31"/>
        <v>0</v>
      </c>
      <c r="G1025">
        <f t="shared" si="32"/>
        <v>0</v>
      </c>
    </row>
    <row r="1026" spans="6:7" x14ac:dyDescent="0.4">
      <c r="F1026">
        <f t="shared" si="31"/>
        <v>0</v>
      </c>
      <c r="G1026">
        <f t="shared" si="32"/>
        <v>0</v>
      </c>
    </row>
    <row r="1027" spans="6:7" x14ac:dyDescent="0.4">
      <c r="F1027">
        <f t="shared" ref="F1027:F1090" si="33">E1027*D1027</f>
        <v>0</v>
      </c>
      <c r="G1027">
        <f t="shared" ref="G1027:G1090" si="34">F1027-(F1027*0.3)</f>
        <v>0</v>
      </c>
    </row>
    <row r="1028" spans="6:7" x14ac:dyDescent="0.4">
      <c r="F1028">
        <f t="shared" si="33"/>
        <v>0</v>
      </c>
      <c r="G1028">
        <f t="shared" si="34"/>
        <v>0</v>
      </c>
    </row>
    <row r="1029" spans="6:7" x14ac:dyDescent="0.4">
      <c r="F1029">
        <f t="shared" si="33"/>
        <v>0</v>
      </c>
      <c r="G1029">
        <f t="shared" si="34"/>
        <v>0</v>
      </c>
    </row>
    <row r="1030" spans="6:7" x14ac:dyDescent="0.4">
      <c r="F1030">
        <f t="shared" si="33"/>
        <v>0</v>
      </c>
      <c r="G1030">
        <f t="shared" si="34"/>
        <v>0</v>
      </c>
    </row>
    <row r="1031" spans="6:7" x14ac:dyDescent="0.4">
      <c r="F1031">
        <f t="shared" si="33"/>
        <v>0</v>
      </c>
      <c r="G1031">
        <f t="shared" si="34"/>
        <v>0</v>
      </c>
    </row>
    <row r="1032" spans="6:7" x14ac:dyDescent="0.4">
      <c r="F1032">
        <f t="shared" si="33"/>
        <v>0</v>
      </c>
      <c r="G1032">
        <f t="shared" si="34"/>
        <v>0</v>
      </c>
    </row>
    <row r="1033" spans="6:7" x14ac:dyDescent="0.4">
      <c r="F1033">
        <f t="shared" si="33"/>
        <v>0</v>
      </c>
      <c r="G1033">
        <f t="shared" si="34"/>
        <v>0</v>
      </c>
    </row>
    <row r="1034" spans="6:7" x14ac:dyDescent="0.4">
      <c r="F1034">
        <f t="shared" si="33"/>
        <v>0</v>
      </c>
      <c r="G1034">
        <f t="shared" si="34"/>
        <v>0</v>
      </c>
    </row>
    <row r="1035" spans="6:7" x14ac:dyDescent="0.4">
      <c r="F1035">
        <f t="shared" si="33"/>
        <v>0</v>
      </c>
      <c r="G1035">
        <f t="shared" si="34"/>
        <v>0</v>
      </c>
    </row>
    <row r="1036" spans="6:7" x14ac:dyDescent="0.4">
      <c r="F1036">
        <f t="shared" si="33"/>
        <v>0</v>
      </c>
      <c r="G1036">
        <f t="shared" si="34"/>
        <v>0</v>
      </c>
    </row>
    <row r="1037" spans="6:7" x14ac:dyDescent="0.4">
      <c r="F1037">
        <f t="shared" si="33"/>
        <v>0</v>
      </c>
      <c r="G1037">
        <f t="shared" si="34"/>
        <v>0</v>
      </c>
    </row>
    <row r="1038" spans="6:7" x14ac:dyDescent="0.4">
      <c r="F1038">
        <f t="shared" si="33"/>
        <v>0</v>
      </c>
      <c r="G1038">
        <f t="shared" si="34"/>
        <v>0</v>
      </c>
    </row>
    <row r="1039" spans="6:7" x14ac:dyDescent="0.4">
      <c r="F1039">
        <f t="shared" si="33"/>
        <v>0</v>
      </c>
      <c r="G1039">
        <f t="shared" si="34"/>
        <v>0</v>
      </c>
    </row>
    <row r="1040" spans="6:7" x14ac:dyDescent="0.4">
      <c r="F1040">
        <f t="shared" si="33"/>
        <v>0</v>
      </c>
      <c r="G1040">
        <f t="shared" si="34"/>
        <v>0</v>
      </c>
    </row>
    <row r="1041" spans="6:7" x14ac:dyDescent="0.4">
      <c r="F1041">
        <f t="shared" si="33"/>
        <v>0</v>
      </c>
      <c r="G1041">
        <f t="shared" si="34"/>
        <v>0</v>
      </c>
    </row>
    <row r="1042" spans="6:7" x14ac:dyDescent="0.4">
      <c r="F1042">
        <f t="shared" si="33"/>
        <v>0</v>
      </c>
      <c r="G1042">
        <f t="shared" si="34"/>
        <v>0</v>
      </c>
    </row>
    <row r="1043" spans="6:7" x14ac:dyDescent="0.4">
      <c r="F1043">
        <f t="shared" si="33"/>
        <v>0</v>
      </c>
      <c r="G1043">
        <f t="shared" si="34"/>
        <v>0</v>
      </c>
    </row>
    <row r="1044" spans="6:7" x14ac:dyDescent="0.4">
      <c r="F1044">
        <f t="shared" si="33"/>
        <v>0</v>
      </c>
      <c r="G1044">
        <f t="shared" si="34"/>
        <v>0</v>
      </c>
    </row>
    <row r="1045" spans="6:7" x14ac:dyDescent="0.4">
      <c r="F1045">
        <f t="shared" si="33"/>
        <v>0</v>
      </c>
      <c r="G1045">
        <f t="shared" si="34"/>
        <v>0</v>
      </c>
    </row>
    <row r="1046" spans="6:7" x14ac:dyDescent="0.4">
      <c r="F1046">
        <f t="shared" si="33"/>
        <v>0</v>
      </c>
      <c r="G1046">
        <f t="shared" si="34"/>
        <v>0</v>
      </c>
    </row>
    <row r="1047" spans="6:7" x14ac:dyDescent="0.4">
      <c r="F1047">
        <f t="shared" si="33"/>
        <v>0</v>
      </c>
      <c r="G1047">
        <f t="shared" si="34"/>
        <v>0</v>
      </c>
    </row>
    <row r="1048" spans="6:7" x14ac:dyDescent="0.4">
      <c r="F1048">
        <f t="shared" si="33"/>
        <v>0</v>
      </c>
      <c r="G1048">
        <f t="shared" si="34"/>
        <v>0</v>
      </c>
    </row>
    <row r="1049" spans="6:7" x14ac:dyDescent="0.4">
      <c r="F1049">
        <f t="shared" si="33"/>
        <v>0</v>
      </c>
      <c r="G1049">
        <f t="shared" si="34"/>
        <v>0</v>
      </c>
    </row>
    <row r="1050" spans="6:7" x14ac:dyDescent="0.4">
      <c r="F1050">
        <f t="shared" si="33"/>
        <v>0</v>
      </c>
      <c r="G1050">
        <f t="shared" si="34"/>
        <v>0</v>
      </c>
    </row>
    <row r="1051" spans="6:7" x14ac:dyDescent="0.4">
      <c r="F1051">
        <f t="shared" si="33"/>
        <v>0</v>
      </c>
      <c r="G1051">
        <f t="shared" si="34"/>
        <v>0</v>
      </c>
    </row>
    <row r="1052" spans="6:7" x14ac:dyDescent="0.4">
      <c r="F1052">
        <f t="shared" si="33"/>
        <v>0</v>
      </c>
      <c r="G1052">
        <f t="shared" si="34"/>
        <v>0</v>
      </c>
    </row>
    <row r="1053" spans="6:7" x14ac:dyDescent="0.4">
      <c r="F1053">
        <f t="shared" si="33"/>
        <v>0</v>
      </c>
      <c r="G1053">
        <f t="shared" si="34"/>
        <v>0</v>
      </c>
    </row>
    <row r="1054" spans="6:7" x14ac:dyDescent="0.4">
      <c r="F1054">
        <f t="shared" si="33"/>
        <v>0</v>
      </c>
      <c r="G1054">
        <f t="shared" si="34"/>
        <v>0</v>
      </c>
    </row>
    <row r="1055" spans="6:7" x14ac:dyDescent="0.4">
      <c r="F1055">
        <f t="shared" si="33"/>
        <v>0</v>
      </c>
      <c r="G1055">
        <f t="shared" si="34"/>
        <v>0</v>
      </c>
    </row>
    <row r="1056" spans="6:7" x14ac:dyDescent="0.4">
      <c r="F1056">
        <f t="shared" si="33"/>
        <v>0</v>
      </c>
      <c r="G1056">
        <f t="shared" si="34"/>
        <v>0</v>
      </c>
    </row>
    <row r="1057" spans="6:7" x14ac:dyDescent="0.4">
      <c r="F1057">
        <f t="shared" si="33"/>
        <v>0</v>
      </c>
      <c r="G1057">
        <f t="shared" si="34"/>
        <v>0</v>
      </c>
    </row>
    <row r="1058" spans="6:7" x14ac:dyDescent="0.4">
      <c r="F1058">
        <f t="shared" si="33"/>
        <v>0</v>
      </c>
      <c r="G1058">
        <f t="shared" si="34"/>
        <v>0</v>
      </c>
    </row>
    <row r="1059" spans="6:7" x14ac:dyDescent="0.4">
      <c r="F1059">
        <f t="shared" si="33"/>
        <v>0</v>
      </c>
      <c r="G1059">
        <f t="shared" si="34"/>
        <v>0</v>
      </c>
    </row>
    <row r="1060" spans="6:7" x14ac:dyDescent="0.4">
      <c r="F1060">
        <f t="shared" si="33"/>
        <v>0</v>
      </c>
      <c r="G1060">
        <f t="shared" si="34"/>
        <v>0</v>
      </c>
    </row>
    <row r="1061" spans="6:7" x14ac:dyDescent="0.4">
      <c r="F1061">
        <f t="shared" si="33"/>
        <v>0</v>
      </c>
      <c r="G1061">
        <f t="shared" si="34"/>
        <v>0</v>
      </c>
    </row>
    <row r="1062" spans="6:7" x14ac:dyDescent="0.4">
      <c r="F1062">
        <f t="shared" si="33"/>
        <v>0</v>
      </c>
      <c r="G1062">
        <f t="shared" si="34"/>
        <v>0</v>
      </c>
    </row>
    <row r="1063" spans="6:7" x14ac:dyDescent="0.4">
      <c r="F1063">
        <f t="shared" si="33"/>
        <v>0</v>
      </c>
      <c r="G1063">
        <f t="shared" si="34"/>
        <v>0</v>
      </c>
    </row>
    <row r="1064" spans="6:7" x14ac:dyDescent="0.4">
      <c r="F1064">
        <f t="shared" si="33"/>
        <v>0</v>
      </c>
      <c r="G1064">
        <f t="shared" si="34"/>
        <v>0</v>
      </c>
    </row>
    <row r="1065" spans="6:7" x14ac:dyDescent="0.4">
      <c r="F1065">
        <f t="shared" si="33"/>
        <v>0</v>
      </c>
      <c r="G1065">
        <f t="shared" si="34"/>
        <v>0</v>
      </c>
    </row>
    <row r="1066" spans="6:7" x14ac:dyDescent="0.4">
      <c r="F1066">
        <f t="shared" si="33"/>
        <v>0</v>
      </c>
      <c r="G1066">
        <f t="shared" si="34"/>
        <v>0</v>
      </c>
    </row>
    <row r="1067" spans="6:7" x14ac:dyDescent="0.4">
      <c r="F1067">
        <f t="shared" si="33"/>
        <v>0</v>
      </c>
      <c r="G1067">
        <f t="shared" si="34"/>
        <v>0</v>
      </c>
    </row>
    <row r="1068" spans="6:7" x14ac:dyDescent="0.4">
      <c r="F1068">
        <f t="shared" si="33"/>
        <v>0</v>
      </c>
      <c r="G1068">
        <f t="shared" si="34"/>
        <v>0</v>
      </c>
    </row>
    <row r="1069" spans="6:7" x14ac:dyDescent="0.4">
      <c r="F1069">
        <f t="shared" si="33"/>
        <v>0</v>
      </c>
      <c r="G1069">
        <f t="shared" si="34"/>
        <v>0</v>
      </c>
    </row>
    <row r="1070" spans="6:7" x14ac:dyDescent="0.4">
      <c r="F1070">
        <f t="shared" si="33"/>
        <v>0</v>
      </c>
      <c r="G1070">
        <f t="shared" si="34"/>
        <v>0</v>
      </c>
    </row>
    <row r="1071" spans="6:7" x14ac:dyDescent="0.4">
      <c r="F1071">
        <f t="shared" si="33"/>
        <v>0</v>
      </c>
      <c r="G1071">
        <f t="shared" si="34"/>
        <v>0</v>
      </c>
    </row>
    <row r="1072" spans="6:7" x14ac:dyDescent="0.4">
      <c r="F1072">
        <f t="shared" si="33"/>
        <v>0</v>
      </c>
      <c r="G1072">
        <f t="shared" si="34"/>
        <v>0</v>
      </c>
    </row>
    <row r="1073" spans="6:7" x14ac:dyDescent="0.4">
      <c r="F1073">
        <f t="shared" si="33"/>
        <v>0</v>
      </c>
      <c r="G1073">
        <f t="shared" si="34"/>
        <v>0</v>
      </c>
    </row>
    <row r="1074" spans="6:7" x14ac:dyDescent="0.4">
      <c r="F1074">
        <f t="shared" si="33"/>
        <v>0</v>
      </c>
      <c r="G1074">
        <f t="shared" si="34"/>
        <v>0</v>
      </c>
    </row>
    <row r="1075" spans="6:7" x14ac:dyDescent="0.4">
      <c r="F1075">
        <f t="shared" si="33"/>
        <v>0</v>
      </c>
      <c r="G1075">
        <f t="shared" si="34"/>
        <v>0</v>
      </c>
    </row>
    <row r="1076" spans="6:7" x14ac:dyDescent="0.4">
      <c r="F1076">
        <f t="shared" si="33"/>
        <v>0</v>
      </c>
      <c r="G1076">
        <f t="shared" si="34"/>
        <v>0</v>
      </c>
    </row>
    <row r="1077" spans="6:7" x14ac:dyDescent="0.4">
      <c r="F1077">
        <f t="shared" si="33"/>
        <v>0</v>
      </c>
      <c r="G1077">
        <f t="shared" si="34"/>
        <v>0</v>
      </c>
    </row>
    <row r="1078" spans="6:7" x14ac:dyDescent="0.4">
      <c r="F1078">
        <f t="shared" si="33"/>
        <v>0</v>
      </c>
      <c r="G1078">
        <f t="shared" si="34"/>
        <v>0</v>
      </c>
    </row>
    <row r="1079" spans="6:7" x14ac:dyDescent="0.4">
      <c r="F1079">
        <f t="shared" si="33"/>
        <v>0</v>
      </c>
      <c r="G1079">
        <f t="shared" si="34"/>
        <v>0</v>
      </c>
    </row>
    <row r="1080" spans="6:7" x14ac:dyDescent="0.4">
      <c r="F1080">
        <f t="shared" si="33"/>
        <v>0</v>
      </c>
      <c r="G1080">
        <f t="shared" si="34"/>
        <v>0</v>
      </c>
    </row>
    <row r="1081" spans="6:7" x14ac:dyDescent="0.4">
      <c r="F1081">
        <f t="shared" si="33"/>
        <v>0</v>
      </c>
      <c r="G1081">
        <f t="shared" si="34"/>
        <v>0</v>
      </c>
    </row>
    <row r="1082" spans="6:7" x14ac:dyDescent="0.4">
      <c r="F1082">
        <f t="shared" si="33"/>
        <v>0</v>
      </c>
      <c r="G1082">
        <f t="shared" si="34"/>
        <v>0</v>
      </c>
    </row>
    <row r="1083" spans="6:7" x14ac:dyDescent="0.4">
      <c r="F1083">
        <f t="shared" si="33"/>
        <v>0</v>
      </c>
      <c r="G1083">
        <f t="shared" si="34"/>
        <v>0</v>
      </c>
    </row>
    <row r="1084" spans="6:7" x14ac:dyDescent="0.4">
      <c r="F1084">
        <f t="shared" si="33"/>
        <v>0</v>
      </c>
      <c r="G1084">
        <f t="shared" si="34"/>
        <v>0</v>
      </c>
    </row>
    <row r="1085" spans="6:7" x14ac:dyDescent="0.4">
      <c r="F1085">
        <f t="shared" si="33"/>
        <v>0</v>
      </c>
      <c r="G1085">
        <f t="shared" si="34"/>
        <v>0</v>
      </c>
    </row>
    <row r="1086" spans="6:7" x14ac:dyDescent="0.4">
      <c r="F1086">
        <f t="shared" si="33"/>
        <v>0</v>
      </c>
      <c r="G1086">
        <f t="shared" si="34"/>
        <v>0</v>
      </c>
    </row>
    <row r="1087" spans="6:7" x14ac:dyDescent="0.4">
      <c r="F1087">
        <f t="shared" si="33"/>
        <v>0</v>
      </c>
      <c r="G1087">
        <f t="shared" si="34"/>
        <v>0</v>
      </c>
    </row>
    <row r="1088" spans="6:7" x14ac:dyDescent="0.4">
      <c r="F1088">
        <f t="shared" si="33"/>
        <v>0</v>
      </c>
      <c r="G1088">
        <f t="shared" si="34"/>
        <v>0</v>
      </c>
    </row>
    <row r="1089" spans="6:7" x14ac:dyDescent="0.4">
      <c r="F1089">
        <f t="shared" si="33"/>
        <v>0</v>
      </c>
      <c r="G1089">
        <f t="shared" si="34"/>
        <v>0</v>
      </c>
    </row>
    <row r="1090" spans="6:7" x14ac:dyDescent="0.4">
      <c r="F1090">
        <f t="shared" si="33"/>
        <v>0</v>
      </c>
      <c r="G1090">
        <f t="shared" si="34"/>
        <v>0</v>
      </c>
    </row>
    <row r="1091" spans="6:7" x14ac:dyDescent="0.4">
      <c r="F1091">
        <f t="shared" ref="F1091:F1154" si="35">E1091*D1091</f>
        <v>0</v>
      </c>
      <c r="G1091">
        <f t="shared" ref="G1091:G1154" si="36">F1091-(F1091*0.3)</f>
        <v>0</v>
      </c>
    </row>
    <row r="1092" spans="6:7" x14ac:dyDescent="0.4">
      <c r="F1092">
        <f t="shared" si="35"/>
        <v>0</v>
      </c>
      <c r="G1092">
        <f t="shared" si="36"/>
        <v>0</v>
      </c>
    </row>
    <row r="1093" spans="6:7" x14ac:dyDescent="0.4">
      <c r="F1093">
        <f t="shared" si="35"/>
        <v>0</v>
      </c>
      <c r="G1093">
        <f t="shared" si="36"/>
        <v>0</v>
      </c>
    </row>
    <row r="1094" spans="6:7" x14ac:dyDescent="0.4">
      <c r="F1094">
        <f t="shared" si="35"/>
        <v>0</v>
      </c>
      <c r="G1094">
        <f t="shared" si="36"/>
        <v>0</v>
      </c>
    </row>
    <row r="1095" spans="6:7" x14ac:dyDescent="0.4">
      <c r="F1095">
        <f t="shared" si="35"/>
        <v>0</v>
      </c>
      <c r="G1095">
        <f t="shared" si="36"/>
        <v>0</v>
      </c>
    </row>
    <row r="1096" spans="6:7" x14ac:dyDescent="0.4">
      <c r="F1096">
        <f t="shared" si="35"/>
        <v>0</v>
      </c>
      <c r="G1096">
        <f t="shared" si="36"/>
        <v>0</v>
      </c>
    </row>
    <row r="1097" spans="6:7" x14ac:dyDescent="0.4">
      <c r="F1097">
        <f t="shared" si="35"/>
        <v>0</v>
      </c>
      <c r="G1097">
        <f t="shared" si="36"/>
        <v>0</v>
      </c>
    </row>
    <row r="1098" spans="6:7" x14ac:dyDescent="0.4">
      <c r="F1098">
        <f t="shared" si="35"/>
        <v>0</v>
      </c>
      <c r="G1098">
        <f t="shared" si="36"/>
        <v>0</v>
      </c>
    </row>
    <row r="1099" spans="6:7" x14ac:dyDescent="0.4">
      <c r="F1099">
        <f t="shared" si="35"/>
        <v>0</v>
      </c>
      <c r="G1099">
        <f t="shared" si="36"/>
        <v>0</v>
      </c>
    </row>
    <row r="1100" spans="6:7" x14ac:dyDescent="0.4">
      <c r="F1100">
        <f t="shared" si="35"/>
        <v>0</v>
      </c>
      <c r="G1100">
        <f t="shared" si="36"/>
        <v>0</v>
      </c>
    </row>
    <row r="1101" spans="6:7" x14ac:dyDescent="0.4">
      <c r="F1101">
        <f t="shared" si="35"/>
        <v>0</v>
      </c>
      <c r="G1101">
        <f t="shared" si="36"/>
        <v>0</v>
      </c>
    </row>
    <row r="1102" spans="6:7" x14ac:dyDescent="0.4">
      <c r="F1102">
        <f t="shared" si="35"/>
        <v>0</v>
      </c>
      <c r="G1102">
        <f t="shared" si="36"/>
        <v>0</v>
      </c>
    </row>
    <row r="1103" spans="6:7" x14ac:dyDescent="0.4">
      <c r="F1103">
        <f t="shared" si="35"/>
        <v>0</v>
      </c>
      <c r="G1103">
        <f t="shared" si="36"/>
        <v>0</v>
      </c>
    </row>
    <row r="1104" spans="6:7" x14ac:dyDescent="0.4">
      <c r="F1104">
        <f t="shared" si="35"/>
        <v>0</v>
      </c>
      <c r="G1104">
        <f t="shared" si="36"/>
        <v>0</v>
      </c>
    </row>
    <row r="1105" spans="6:7" x14ac:dyDescent="0.4">
      <c r="F1105">
        <f t="shared" si="35"/>
        <v>0</v>
      </c>
      <c r="G1105">
        <f t="shared" si="36"/>
        <v>0</v>
      </c>
    </row>
    <row r="1106" spans="6:7" x14ac:dyDescent="0.4">
      <c r="F1106">
        <f t="shared" si="35"/>
        <v>0</v>
      </c>
      <c r="G1106">
        <f t="shared" si="36"/>
        <v>0</v>
      </c>
    </row>
    <row r="1107" spans="6:7" x14ac:dyDescent="0.4">
      <c r="F1107">
        <f t="shared" si="35"/>
        <v>0</v>
      </c>
      <c r="G1107">
        <f t="shared" si="36"/>
        <v>0</v>
      </c>
    </row>
    <row r="1108" spans="6:7" x14ac:dyDescent="0.4">
      <c r="F1108">
        <f t="shared" si="35"/>
        <v>0</v>
      </c>
      <c r="G1108">
        <f t="shared" si="36"/>
        <v>0</v>
      </c>
    </row>
    <row r="1109" spans="6:7" x14ac:dyDescent="0.4">
      <c r="F1109">
        <f t="shared" si="35"/>
        <v>0</v>
      </c>
      <c r="G1109">
        <f t="shared" si="36"/>
        <v>0</v>
      </c>
    </row>
    <row r="1110" spans="6:7" x14ac:dyDescent="0.4">
      <c r="F1110">
        <f t="shared" si="35"/>
        <v>0</v>
      </c>
      <c r="G1110">
        <f t="shared" si="36"/>
        <v>0</v>
      </c>
    </row>
    <row r="1111" spans="6:7" x14ac:dyDescent="0.4">
      <c r="F1111">
        <f t="shared" si="35"/>
        <v>0</v>
      </c>
      <c r="G1111">
        <f t="shared" si="36"/>
        <v>0</v>
      </c>
    </row>
    <row r="1112" spans="6:7" x14ac:dyDescent="0.4">
      <c r="F1112">
        <f t="shared" si="35"/>
        <v>0</v>
      </c>
      <c r="G1112">
        <f t="shared" si="36"/>
        <v>0</v>
      </c>
    </row>
    <row r="1113" spans="6:7" x14ac:dyDescent="0.4">
      <c r="F1113">
        <f t="shared" si="35"/>
        <v>0</v>
      </c>
      <c r="G1113">
        <f t="shared" si="36"/>
        <v>0</v>
      </c>
    </row>
    <row r="1114" spans="6:7" x14ac:dyDescent="0.4">
      <c r="F1114">
        <f t="shared" si="35"/>
        <v>0</v>
      </c>
      <c r="G1114">
        <f t="shared" si="36"/>
        <v>0</v>
      </c>
    </row>
    <row r="1115" spans="6:7" x14ac:dyDescent="0.4">
      <c r="F1115">
        <f t="shared" si="35"/>
        <v>0</v>
      </c>
      <c r="G1115">
        <f t="shared" si="36"/>
        <v>0</v>
      </c>
    </row>
    <row r="1116" spans="6:7" x14ac:dyDescent="0.4">
      <c r="F1116">
        <f t="shared" si="35"/>
        <v>0</v>
      </c>
      <c r="G1116">
        <f t="shared" si="36"/>
        <v>0</v>
      </c>
    </row>
    <row r="1117" spans="6:7" x14ac:dyDescent="0.4">
      <c r="F1117">
        <f t="shared" si="35"/>
        <v>0</v>
      </c>
      <c r="G1117">
        <f t="shared" si="36"/>
        <v>0</v>
      </c>
    </row>
    <row r="1118" spans="6:7" x14ac:dyDescent="0.4">
      <c r="F1118">
        <f t="shared" si="35"/>
        <v>0</v>
      </c>
      <c r="G1118">
        <f t="shared" si="36"/>
        <v>0</v>
      </c>
    </row>
    <row r="1119" spans="6:7" x14ac:dyDescent="0.4">
      <c r="F1119">
        <f t="shared" si="35"/>
        <v>0</v>
      </c>
      <c r="G1119">
        <f t="shared" si="36"/>
        <v>0</v>
      </c>
    </row>
    <row r="1120" spans="6:7" x14ac:dyDescent="0.4">
      <c r="F1120">
        <f t="shared" si="35"/>
        <v>0</v>
      </c>
      <c r="G1120">
        <f t="shared" si="36"/>
        <v>0</v>
      </c>
    </row>
    <row r="1121" spans="6:7" x14ac:dyDescent="0.4">
      <c r="F1121">
        <f t="shared" si="35"/>
        <v>0</v>
      </c>
      <c r="G1121">
        <f t="shared" si="36"/>
        <v>0</v>
      </c>
    </row>
    <row r="1122" spans="6:7" x14ac:dyDescent="0.4">
      <c r="F1122">
        <f t="shared" si="35"/>
        <v>0</v>
      </c>
      <c r="G1122">
        <f t="shared" si="36"/>
        <v>0</v>
      </c>
    </row>
    <row r="1123" spans="6:7" x14ac:dyDescent="0.4">
      <c r="F1123">
        <f t="shared" si="35"/>
        <v>0</v>
      </c>
      <c r="G1123">
        <f t="shared" si="36"/>
        <v>0</v>
      </c>
    </row>
    <row r="1124" spans="6:7" x14ac:dyDescent="0.4">
      <c r="F1124">
        <f t="shared" si="35"/>
        <v>0</v>
      </c>
      <c r="G1124">
        <f t="shared" si="36"/>
        <v>0</v>
      </c>
    </row>
    <row r="1125" spans="6:7" x14ac:dyDescent="0.4">
      <c r="F1125">
        <f t="shared" si="35"/>
        <v>0</v>
      </c>
      <c r="G1125">
        <f t="shared" si="36"/>
        <v>0</v>
      </c>
    </row>
    <row r="1126" spans="6:7" x14ac:dyDescent="0.4">
      <c r="F1126">
        <f t="shared" si="35"/>
        <v>0</v>
      </c>
      <c r="G1126">
        <f t="shared" si="36"/>
        <v>0</v>
      </c>
    </row>
    <row r="1127" spans="6:7" x14ac:dyDescent="0.4">
      <c r="F1127">
        <f t="shared" si="35"/>
        <v>0</v>
      </c>
      <c r="G1127">
        <f t="shared" si="36"/>
        <v>0</v>
      </c>
    </row>
    <row r="1128" spans="6:7" x14ac:dyDescent="0.4">
      <c r="F1128">
        <f t="shared" si="35"/>
        <v>0</v>
      </c>
      <c r="G1128">
        <f t="shared" si="36"/>
        <v>0</v>
      </c>
    </row>
    <row r="1129" spans="6:7" x14ac:dyDescent="0.4">
      <c r="F1129">
        <f t="shared" si="35"/>
        <v>0</v>
      </c>
      <c r="G1129">
        <f t="shared" si="36"/>
        <v>0</v>
      </c>
    </row>
    <row r="1130" spans="6:7" x14ac:dyDescent="0.4">
      <c r="F1130">
        <f t="shared" si="35"/>
        <v>0</v>
      </c>
      <c r="G1130">
        <f t="shared" si="36"/>
        <v>0</v>
      </c>
    </row>
    <row r="1131" spans="6:7" x14ac:dyDescent="0.4">
      <c r="F1131">
        <f t="shared" si="35"/>
        <v>0</v>
      </c>
      <c r="G1131">
        <f t="shared" si="36"/>
        <v>0</v>
      </c>
    </row>
    <row r="1132" spans="6:7" x14ac:dyDescent="0.4">
      <c r="F1132">
        <f t="shared" si="35"/>
        <v>0</v>
      </c>
      <c r="G1132">
        <f t="shared" si="36"/>
        <v>0</v>
      </c>
    </row>
    <row r="1133" spans="6:7" x14ac:dyDescent="0.4">
      <c r="F1133">
        <f t="shared" si="35"/>
        <v>0</v>
      </c>
      <c r="G1133">
        <f t="shared" si="36"/>
        <v>0</v>
      </c>
    </row>
    <row r="1134" spans="6:7" x14ac:dyDescent="0.4">
      <c r="F1134">
        <f t="shared" si="35"/>
        <v>0</v>
      </c>
      <c r="G1134">
        <f t="shared" si="36"/>
        <v>0</v>
      </c>
    </row>
    <row r="1135" spans="6:7" x14ac:dyDescent="0.4">
      <c r="F1135">
        <f t="shared" si="35"/>
        <v>0</v>
      </c>
      <c r="G1135">
        <f t="shared" si="36"/>
        <v>0</v>
      </c>
    </row>
    <row r="1136" spans="6:7" x14ac:dyDescent="0.4">
      <c r="F1136">
        <f t="shared" si="35"/>
        <v>0</v>
      </c>
      <c r="G1136">
        <f t="shared" si="36"/>
        <v>0</v>
      </c>
    </row>
    <row r="1137" spans="6:7" x14ac:dyDescent="0.4">
      <c r="F1137">
        <f t="shared" si="35"/>
        <v>0</v>
      </c>
      <c r="G1137">
        <f t="shared" si="36"/>
        <v>0</v>
      </c>
    </row>
    <row r="1138" spans="6:7" x14ac:dyDescent="0.4">
      <c r="F1138">
        <f t="shared" si="35"/>
        <v>0</v>
      </c>
      <c r="G1138">
        <f t="shared" si="36"/>
        <v>0</v>
      </c>
    </row>
    <row r="1139" spans="6:7" x14ac:dyDescent="0.4">
      <c r="F1139">
        <f t="shared" si="35"/>
        <v>0</v>
      </c>
      <c r="G1139">
        <f t="shared" si="36"/>
        <v>0</v>
      </c>
    </row>
    <row r="1140" spans="6:7" x14ac:dyDescent="0.4">
      <c r="F1140">
        <f t="shared" si="35"/>
        <v>0</v>
      </c>
      <c r="G1140">
        <f t="shared" si="36"/>
        <v>0</v>
      </c>
    </row>
    <row r="1141" spans="6:7" x14ac:dyDescent="0.4">
      <c r="F1141">
        <f t="shared" si="35"/>
        <v>0</v>
      </c>
      <c r="G1141">
        <f t="shared" si="36"/>
        <v>0</v>
      </c>
    </row>
    <row r="1142" spans="6:7" x14ac:dyDescent="0.4">
      <c r="F1142">
        <f t="shared" si="35"/>
        <v>0</v>
      </c>
      <c r="G1142">
        <f t="shared" si="36"/>
        <v>0</v>
      </c>
    </row>
    <row r="1143" spans="6:7" x14ac:dyDescent="0.4">
      <c r="F1143">
        <f t="shared" si="35"/>
        <v>0</v>
      </c>
      <c r="G1143">
        <f t="shared" si="36"/>
        <v>0</v>
      </c>
    </row>
    <row r="1144" spans="6:7" x14ac:dyDescent="0.4">
      <c r="F1144">
        <f t="shared" si="35"/>
        <v>0</v>
      </c>
      <c r="G1144">
        <f t="shared" si="36"/>
        <v>0</v>
      </c>
    </row>
    <row r="1145" spans="6:7" x14ac:dyDescent="0.4">
      <c r="F1145">
        <f t="shared" si="35"/>
        <v>0</v>
      </c>
      <c r="G1145">
        <f t="shared" si="36"/>
        <v>0</v>
      </c>
    </row>
    <row r="1146" spans="6:7" x14ac:dyDescent="0.4">
      <c r="F1146">
        <f t="shared" si="35"/>
        <v>0</v>
      </c>
      <c r="G1146">
        <f t="shared" si="36"/>
        <v>0</v>
      </c>
    </row>
    <row r="1147" spans="6:7" x14ac:dyDescent="0.4">
      <c r="F1147">
        <f t="shared" si="35"/>
        <v>0</v>
      </c>
      <c r="G1147">
        <f t="shared" si="36"/>
        <v>0</v>
      </c>
    </row>
    <row r="1148" spans="6:7" x14ac:dyDescent="0.4">
      <c r="F1148">
        <f t="shared" si="35"/>
        <v>0</v>
      </c>
      <c r="G1148">
        <f t="shared" si="36"/>
        <v>0</v>
      </c>
    </row>
    <row r="1149" spans="6:7" x14ac:dyDescent="0.4">
      <c r="F1149">
        <f t="shared" si="35"/>
        <v>0</v>
      </c>
      <c r="G1149">
        <f t="shared" si="36"/>
        <v>0</v>
      </c>
    </row>
    <row r="1150" spans="6:7" x14ac:dyDescent="0.4">
      <c r="F1150">
        <f t="shared" si="35"/>
        <v>0</v>
      </c>
      <c r="G1150">
        <f t="shared" si="36"/>
        <v>0</v>
      </c>
    </row>
    <row r="1151" spans="6:7" x14ac:dyDescent="0.4">
      <c r="F1151">
        <f t="shared" si="35"/>
        <v>0</v>
      </c>
      <c r="G1151">
        <f t="shared" si="36"/>
        <v>0</v>
      </c>
    </row>
    <row r="1152" spans="6:7" x14ac:dyDescent="0.4">
      <c r="F1152">
        <f t="shared" si="35"/>
        <v>0</v>
      </c>
      <c r="G1152">
        <f t="shared" si="36"/>
        <v>0</v>
      </c>
    </row>
    <row r="1153" spans="6:7" x14ac:dyDescent="0.4">
      <c r="F1153">
        <f t="shared" si="35"/>
        <v>0</v>
      </c>
      <c r="G1153">
        <f t="shared" si="36"/>
        <v>0</v>
      </c>
    </row>
    <row r="1154" spans="6:7" x14ac:dyDescent="0.4">
      <c r="F1154">
        <f t="shared" si="35"/>
        <v>0</v>
      </c>
      <c r="G1154">
        <f t="shared" si="36"/>
        <v>0</v>
      </c>
    </row>
    <row r="1155" spans="6:7" x14ac:dyDescent="0.4">
      <c r="F1155">
        <f t="shared" ref="F1155:F1210" si="37">E1155*D1155</f>
        <v>0</v>
      </c>
      <c r="G1155">
        <f t="shared" ref="G1155:G1210" si="38">F1155-(F1155*0.3)</f>
        <v>0</v>
      </c>
    </row>
    <row r="1156" spans="6:7" x14ac:dyDescent="0.4">
      <c r="F1156">
        <f t="shared" si="37"/>
        <v>0</v>
      </c>
      <c r="G1156">
        <f t="shared" si="38"/>
        <v>0</v>
      </c>
    </row>
    <row r="1157" spans="6:7" x14ac:dyDescent="0.4">
      <c r="F1157">
        <f t="shared" si="37"/>
        <v>0</v>
      </c>
      <c r="G1157">
        <f t="shared" si="38"/>
        <v>0</v>
      </c>
    </row>
    <row r="1158" spans="6:7" x14ac:dyDescent="0.4">
      <c r="F1158">
        <f t="shared" si="37"/>
        <v>0</v>
      </c>
      <c r="G1158">
        <f t="shared" si="38"/>
        <v>0</v>
      </c>
    </row>
    <row r="1159" spans="6:7" x14ac:dyDescent="0.4">
      <c r="F1159">
        <f t="shared" si="37"/>
        <v>0</v>
      </c>
      <c r="G1159">
        <f t="shared" si="38"/>
        <v>0</v>
      </c>
    </row>
    <row r="1160" spans="6:7" x14ac:dyDescent="0.4">
      <c r="F1160">
        <f t="shared" si="37"/>
        <v>0</v>
      </c>
      <c r="G1160">
        <f t="shared" si="38"/>
        <v>0</v>
      </c>
    </row>
    <row r="1161" spans="6:7" x14ac:dyDescent="0.4">
      <c r="F1161">
        <f t="shared" si="37"/>
        <v>0</v>
      </c>
      <c r="G1161">
        <f t="shared" si="38"/>
        <v>0</v>
      </c>
    </row>
    <row r="1162" spans="6:7" x14ac:dyDescent="0.4">
      <c r="F1162">
        <f t="shared" si="37"/>
        <v>0</v>
      </c>
      <c r="G1162">
        <f t="shared" si="38"/>
        <v>0</v>
      </c>
    </row>
    <row r="1163" spans="6:7" x14ac:dyDescent="0.4">
      <c r="F1163">
        <f t="shared" si="37"/>
        <v>0</v>
      </c>
      <c r="G1163">
        <f t="shared" si="38"/>
        <v>0</v>
      </c>
    </row>
    <row r="1164" spans="6:7" x14ac:dyDescent="0.4">
      <c r="F1164">
        <f t="shared" si="37"/>
        <v>0</v>
      </c>
      <c r="G1164">
        <f t="shared" si="38"/>
        <v>0</v>
      </c>
    </row>
    <row r="1165" spans="6:7" x14ac:dyDescent="0.4">
      <c r="F1165">
        <f t="shared" si="37"/>
        <v>0</v>
      </c>
      <c r="G1165">
        <f t="shared" si="38"/>
        <v>0</v>
      </c>
    </row>
    <row r="1166" spans="6:7" x14ac:dyDescent="0.4">
      <c r="F1166">
        <f t="shared" si="37"/>
        <v>0</v>
      </c>
      <c r="G1166">
        <f t="shared" si="38"/>
        <v>0</v>
      </c>
    </row>
    <row r="1167" spans="6:7" x14ac:dyDescent="0.4">
      <c r="F1167">
        <f t="shared" si="37"/>
        <v>0</v>
      </c>
      <c r="G1167">
        <f t="shared" si="38"/>
        <v>0</v>
      </c>
    </row>
    <row r="1168" spans="6:7" x14ac:dyDescent="0.4">
      <c r="F1168">
        <f t="shared" si="37"/>
        <v>0</v>
      </c>
      <c r="G1168">
        <f t="shared" si="38"/>
        <v>0</v>
      </c>
    </row>
    <row r="1169" spans="6:7" x14ac:dyDescent="0.4">
      <c r="F1169">
        <f t="shared" si="37"/>
        <v>0</v>
      </c>
      <c r="G1169">
        <f t="shared" si="38"/>
        <v>0</v>
      </c>
    </row>
    <row r="1170" spans="6:7" x14ac:dyDescent="0.4">
      <c r="F1170">
        <f t="shared" si="37"/>
        <v>0</v>
      </c>
      <c r="G1170">
        <f t="shared" si="38"/>
        <v>0</v>
      </c>
    </row>
    <row r="1171" spans="6:7" x14ac:dyDescent="0.4">
      <c r="F1171">
        <f t="shared" si="37"/>
        <v>0</v>
      </c>
      <c r="G1171">
        <f t="shared" si="38"/>
        <v>0</v>
      </c>
    </row>
    <row r="1172" spans="6:7" x14ac:dyDescent="0.4">
      <c r="F1172">
        <f t="shared" si="37"/>
        <v>0</v>
      </c>
      <c r="G1172">
        <f t="shared" si="38"/>
        <v>0</v>
      </c>
    </row>
    <row r="1173" spans="6:7" x14ac:dyDescent="0.4">
      <c r="F1173">
        <f t="shared" si="37"/>
        <v>0</v>
      </c>
      <c r="G1173">
        <f t="shared" si="38"/>
        <v>0</v>
      </c>
    </row>
    <row r="1174" spans="6:7" x14ac:dyDescent="0.4">
      <c r="F1174">
        <f t="shared" si="37"/>
        <v>0</v>
      </c>
      <c r="G1174">
        <f t="shared" si="38"/>
        <v>0</v>
      </c>
    </row>
    <row r="1175" spans="6:7" x14ac:dyDescent="0.4">
      <c r="F1175">
        <f t="shared" si="37"/>
        <v>0</v>
      </c>
      <c r="G1175">
        <f t="shared" si="38"/>
        <v>0</v>
      </c>
    </row>
    <row r="1176" spans="6:7" x14ac:dyDescent="0.4">
      <c r="F1176">
        <f t="shared" si="37"/>
        <v>0</v>
      </c>
      <c r="G1176">
        <f t="shared" si="38"/>
        <v>0</v>
      </c>
    </row>
    <row r="1177" spans="6:7" x14ac:dyDescent="0.4">
      <c r="F1177">
        <f t="shared" si="37"/>
        <v>0</v>
      </c>
      <c r="G1177">
        <f t="shared" si="38"/>
        <v>0</v>
      </c>
    </row>
    <row r="1178" spans="6:7" x14ac:dyDescent="0.4">
      <c r="F1178">
        <f t="shared" si="37"/>
        <v>0</v>
      </c>
      <c r="G1178">
        <f t="shared" si="38"/>
        <v>0</v>
      </c>
    </row>
    <row r="1179" spans="6:7" x14ac:dyDescent="0.4">
      <c r="F1179">
        <f t="shared" si="37"/>
        <v>0</v>
      </c>
      <c r="G1179">
        <f t="shared" si="38"/>
        <v>0</v>
      </c>
    </row>
    <row r="1180" spans="6:7" x14ac:dyDescent="0.4">
      <c r="F1180">
        <f t="shared" si="37"/>
        <v>0</v>
      </c>
      <c r="G1180">
        <f t="shared" si="38"/>
        <v>0</v>
      </c>
    </row>
    <row r="1181" spans="6:7" x14ac:dyDescent="0.4">
      <c r="F1181">
        <f t="shared" si="37"/>
        <v>0</v>
      </c>
      <c r="G1181">
        <f t="shared" si="38"/>
        <v>0</v>
      </c>
    </row>
    <row r="1182" spans="6:7" x14ac:dyDescent="0.4">
      <c r="F1182">
        <f t="shared" si="37"/>
        <v>0</v>
      </c>
      <c r="G1182">
        <f t="shared" si="38"/>
        <v>0</v>
      </c>
    </row>
    <row r="1183" spans="6:7" x14ac:dyDescent="0.4">
      <c r="F1183">
        <f t="shared" si="37"/>
        <v>0</v>
      </c>
      <c r="G1183">
        <f t="shared" si="38"/>
        <v>0</v>
      </c>
    </row>
    <row r="1184" spans="6:7" x14ac:dyDescent="0.4">
      <c r="F1184">
        <f t="shared" si="37"/>
        <v>0</v>
      </c>
      <c r="G1184">
        <f t="shared" si="38"/>
        <v>0</v>
      </c>
    </row>
    <row r="1185" spans="6:7" x14ac:dyDescent="0.4">
      <c r="F1185">
        <f t="shared" si="37"/>
        <v>0</v>
      </c>
      <c r="G1185">
        <f t="shared" si="38"/>
        <v>0</v>
      </c>
    </row>
    <row r="1186" spans="6:7" x14ac:dyDescent="0.4">
      <c r="F1186">
        <f t="shared" si="37"/>
        <v>0</v>
      </c>
      <c r="G1186">
        <f t="shared" si="38"/>
        <v>0</v>
      </c>
    </row>
    <row r="1187" spans="6:7" x14ac:dyDescent="0.4">
      <c r="F1187">
        <f t="shared" si="37"/>
        <v>0</v>
      </c>
      <c r="G1187">
        <f t="shared" si="38"/>
        <v>0</v>
      </c>
    </row>
    <row r="1188" spans="6:7" x14ac:dyDescent="0.4">
      <c r="F1188">
        <f t="shared" si="37"/>
        <v>0</v>
      </c>
      <c r="G1188">
        <f t="shared" si="38"/>
        <v>0</v>
      </c>
    </row>
    <row r="1189" spans="6:7" x14ac:dyDescent="0.4">
      <c r="F1189">
        <f t="shared" si="37"/>
        <v>0</v>
      </c>
      <c r="G1189">
        <f t="shared" si="38"/>
        <v>0</v>
      </c>
    </row>
    <row r="1190" spans="6:7" x14ac:dyDescent="0.4">
      <c r="F1190">
        <f t="shared" si="37"/>
        <v>0</v>
      </c>
      <c r="G1190">
        <f t="shared" si="38"/>
        <v>0</v>
      </c>
    </row>
    <row r="1191" spans="6:7" x14ac:dyDescent="0.4">
      <c r="F1191">
        <f t="shared" si="37"/>
        <v>0</v>
      </c>
      <c r="G1191">
        <f t="shared" si="38"/>
        <v>0</v>
      </c>
    </row>
    <row r="1192" spans="6:7" x14ac:dyDescent="0.4">
      <c r="F1192">
        <f t="shared" si="37"/>
        <v>0</v>
      </c>
      <c r="G1192">
        <f t="shared" si="38"/>
        <v>0</v>
      </c>
    </row>
    <row r="1193" spans="6:7" x14ac:dyDescent="0.4">
      <c r="F1193">
        <f t="shared" si="37"/>
        <v>0</v>
      </c>
      <c r="G1193">
        <f t="shared" si="38"/>
        <v>0</v>
      </c>
    </row>
    <row r="1194" spans="6:7" x14ac:dyDescent="0.4">
      <c r="F1194">
        <f t="shared" si="37"/>
        <v>0</v>
      </c>
      <c r="G1194">
        <f t="shared" si="38"/>
        <v>0</v>
      </c>
    </row>
    <row r="1195" spans="6:7" x14ac:dyDescent="0.4">
      <c r="F1195">
        <f t="shared" si="37"/>
        <v>0</v>
      </c>
      <c r="G1195">
        <f t="shared" si="38"/>
        <v>0</v>
      </c>
    </row>
    <row r="1196" spans="6:7" x14ac:dyDescent="0.4">
      <c r="F1196">
        <f t="shared" si="37"/>
        <v>0</v>
      </c>
      <c r="G1196">
        <f t="shared" si="38"/>
        <v>0</v>
      </c>
    </row>
    <row r="1197" spans="6:7" x14ac:dyDescent="0.4">
      <c r="F1197">
        <f t="shared" si="37"/>
        <v>0</v>
      </c>
      <c r="G1197">
        <f t="shared" si="38"/>
        <v>0</v>
      </c>
    </row>
    <row r="1198" spans="6:7" x14ac:dyDescent="0.4">
      <c r="F1198">
        <f t="shared" si="37"/>
        <v>0</v>
      </c>
      <c r="G1198">
        <f t="shared" si="38"/>
        <v>0</v>
      </c>
    </row>
    <row r="1199" spans="6:7" x14ac:dyDescent="0.4">
      <c r="F1199">
        <f t="shared" si="37"/>
        <v>0</v>
      </c>
      <c r="G1199">
        <f t="shared" si="38"/>
        <v>0</v>
      </c>
    </row>
    <row r="1200" spans="6:7" x14ac:dyDescent="0.4">
      <c r="F1200">
        <f t="shared" si="37"/>
        <v>0</v>
      </c>
      <c r="G1200">
        <f t="shared" si="38"/>
        <v>0</v>
      </c>
    </row>
    <row r="1201" spans="6:7" x14ac:dyDescent="0.4">
      <c r="F1201">
        <f t="shared" si="37"/>
        <v>0</v>
      </c>
      <c r="G1201">
        <f t="shared" si="38"/>
        <v>0</v>
      </c>
    </row>
    <row r="1202" spans="6:7" x14ac:dyDescent="0.4">
      <c r="F1202">
        <f t="shared" si="37"/>
        <v>0</v>
      </c>
      <c r="G1202">
        <f t="shared" si="38"/>
        <v>0</v>
      </c>
    </row>
    <row r="1203" spans="6:7" x14ac:dyDescent="0.4">
      <c r="F1203">
        <f t="shared" si="37"/>
        <v>0</v>
      </c>
      <c r="G1203">
        <f t="shared" si="38"/>
        <v>0</v>
      </c>
    </row>
    <row r="1204" spans="6:7" x14ac:dyDescent="0.4">
      <c r="F1204">
        <f t="shared" si="37"/>
        <v>0</v>
      </c>
      <c r="G1204">
        <f t="shared" si="38"/>
        <v>0</v>
      </c>
    </row>
    <row r="1205" spans="6:7" x14ac:dyDescent="0.4">
      <c r="F1205">
        <f t="shared" si="37"/>
        <v>0</v>
      </c>
      <c r="G1205">
        <f t="shared" si="38"/>
        <v>0</v>
      </c>
    </row>
    <row r="1206" spans="6:7" x14ac:dyDescent="0.4">
      <c r="F1206">
        <f t="shared" si="37"/>
        <v>0</v>
      </c>
      <c r="G1206">
        <f t="shared" si="38"/>
        <v>0</v>
      </c>
    </row>
    <row r="1207" spans="6:7" x14ac:dyDescent="0.4">
      <c r="F1207">
        <f t="shared" si="37"/>
        <v>0</v>
      </c>
      <c r="G1207">
        <f t="shared" si="38"/>
        <v>0</v>
      </c>
    </row>
    <row r="1208" spans="6:7" x14ac:dyDescent="0.4">
      <c r="F1208">
        <f t="shared" si="37"/>
        <v>0</v>
      </c>
      <c r="G1208">
        <f t="shared" si="38"/>
        <v>0</v>
      </c>
    </row>
    <row r="1209" spans="6:7" x14ac:dyDescent="0.4">
      <c r="F1209">
        <f t="shared" si="37"/>
        <v>0</v>
      </c>
      <c r="G1209">
        <f t="shared" si="38"/>
        <v>0</v>
      </c>
    </row>
    <row r="1210" spans="6:7" x14ac:dyDescent="0.4">
      <c r="F1210">
        <f t="shared" si="37"/>
        <v>0</v>
      </c>
      <c r="G1210">
        <f t="shared" si="38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5DE46-0492-4C68-8F4A-5A764E5499C0}">
  <sheetPr codeName="Sheet8"/>
  <dimension ref="A1:L11"/>
  <sheetViews>
    <sheetView workbookViewId="0">
      <selection sqref="A1:E11"/>
    </sheetView>
  </sheetViews>
  <sheetFormatPr defaultRowHeight="16" x14ac:dyDescent="0.4"/>
  <cols>
    <col min="1" max="1" width="7.6640625" bestFit="1" customWidth="1"/>
    <col min="2" max="2" width="11" bestFit="1" customWidth="1"/>
    <col min="3" max="3" width="13.25" bestFit="1" customWidth="1"/>
    <col min="4" max="4" width="8" bestFit="1" customWidth="1"/>
    <col min="5" max="5" width="11.9140625" bestFit="1" customWidth="1"/>
    <col min="9" max="9" width="9.6640625" bestFit="1" customWidth="1"/>
    <col min="10" max="10" width="13.25" bestFit="1" customWidth="1"/>
  </cols>
  <sheetData>
    <row r="1" spans="1:12" x14ac:dyDescent="0.4">
      <c r="A1" s="6" t="s">
        <v>12</v>
      </c>
      <c r="B1" s="6" t="s">
        <v>13</v>
      </c>
      <c r="C1" s="6" t="s">
        <v>14</v>
      </c>
      <c r="D1" s="6" t="s">
        <v>15</v>
      </c>
      <c r="E1" s="6" t="s">
        <v>16</v>
      </c>
    </row>
    <row r="2" spans="1:12" x14ac:dyDescent="0.4">
      <c r="A2">
        <v>1001</v>
      </c>
      <c r="B2" t="s">
        <v>17</v>
      </c>
      <c r="C2" t="s">
        <v>18</v>
      </c>
      <c r="D2">
        <v>2</v>
      </c>
      <c r="E2">
        <v>800</v>
      </c>
    </row>
    <row r="3" spans="1:12" x14ac:dyDescent="0.4">
      <c r="A3">
        <v>1002</v>
      </c>
      <c r="B3" t="s">
        <v>19</v>
      </c>
      <c r="C3" t="s">
        <v>18</v>
      </c>
      <c r="D3">
        <v>1</v>
      </c>
      <c r="E3">
        <v>300</v>
      </c>
      <c r="H3" s="6" t="s">
        <v>12</v>
      </c>
      <c r="I3" t="s">
        <v>41</v>
      </c>
    </row>
    <row r="4" spans="1:12" x14ac:dyDescent="0.4">
      <c r="A4">
        <v>1003</v>
      </c>
      <c r="B4" t="s">
        <v>20</v>
      </c>
      <c r="C4" t="s">
        <v>21</v>
      </c>
      <c r="D4">
        <v>1</v>
      </c>
      <c r="E4">
        <v>200</v>
      </c>
      <c r="H4">
        <v>1004</v>
      </c>
      <c r="I4">
        <f>VLOOKUP(H4,A2:E11,5,0)</f>
        <v>50</v>
      </c>
    </row>
    <row r="5" spans="1:12" x14ac:dyDescent="0.4">
      <c r="A5">
        <v>1004</v>
      </c>
      <c r="B5" t="s">
        <v>22</v>
      </c>
      <c r="C5" t="s">
        <v>21</v>
      </c>
      <c r="D5">
        <v>4</v>
      </c>
      <c r="E5">
        <v>50</v>
      </c>
    </row>
    <row r="6" spans="1:12" x14ac:dyDescent="0.4">
      <c r="A6">
        <v>1005</v>
      </c>
      <c r="B6" t="s">
        <v>23</v>
      </c>
      <c r="C6" t="s">
        <v>18</v>
      </c>
      <c r="D6">
        <v>3</v>
      </c>
      <c r="E6">
        <v>400</v>
      </c>
      <c r="H6" s="6" t="s">
        <v>12</v>
      </c>
      <c r="I6" s="6" t="s">
        <v>13</v>
      </c>
      <c r="J6" s="6" t="s">
        <v>14</v>
      </c>
      <c r="K6" s="6" t="s">
        <v>15</v>
      </c>
      <c r="L6" s="6" t="s">
        <v>16</v>
      </c>
    </row>
    <row r="7" spans="1:12" x14ac:dyDescent="0.4">
      <c r="A7">
        <v>1006</v>
      </c>
      <c r="B7" t="s">
        <v>24</v>
      </c>
      <c r="C7" t="s">
        <v>18</v>
      </c>
      <c r="D7">
        <v>2</v>
      </c>
      <c r="E7">
        <v>250</v>
      </c>
      <c r="H7">
        <v>1008</v>
      </c>
      <c r="I7" t="str">
        <f>VLOOKUP($H$7,$A$2:$E$11,2,0)</f>
        <v>File Cabinet</v>
      </c>
      <c r="J7" t="str">
        <f>VLOOKUP($H$7,$A$2:$E$11,3,0)</f>
        <v>Office Furniture</v>
      </c>
      <c r="K7">
        <f>VLOOKUP($H$7,$A$2:$E$11,4,0)</f>
        <v>2</v>
      </c>
      <c r="L7">
        <f>VLOOKUP($H$7,$A$2:$E$11,5,0)</f>
        <v>150</v>
      </c>
    </row>
    <row r="8" spans="1:12" x14ac:dyDescent="0.4">
      <c r="A8">
        <v>1007</v>
      </c>
      <c r="B8" t="s">
        <v>25</v>
      </c>
      <c r="C8" t="s">
        <v>26</v>
      </c>
      <c r="D8">
        <v>1</v>
      </c>
      <c r="E8">
        <v>30</v>
      </c>
    </row>
    <row r="9" spans="1:12" x14ac:dyDescent="0.4">
      <c r="A9">
        <v>1008</v>
      </c>
      <c r="B9" t="s">
        <v>27</v>
      </c>
      <c r="C9" t="s">
        <v>21</v>
      </c>
      <c r="D9">
        <v>2</v>
      </c>
      <c r="E9">
        <v>150</v>
      </c>
    </row>
    <row r="10" spans="1:12" x14ac:dyDescent="0.4">
      <c r="A10">
        <v>1009</v>
      </c>
      <c r="B10" t="s">
        <v>28</v>
      </c>
      <c r="C10" t="s">
        <v>18</v>
      </c>
      <c r="D10">
        <v>2</v>
      </c>
      <c r="E10">
        <v>100</v>
      </c>
    </row>
    <row r="11" spans="1:12" x14ac:dyDescent="0.4">
      <c r="A11">
        <v>1010</v>
      </c>
      <c r="B11" t="s">
        <v>29</v>
      </c>
      <c r="C11" t="s">
        <v>21</v>
      </c>
      <c r="D11">
        <v>1</v>
      </c>
      <c r="E11">
        <v>120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52159-D963-41D9-A69A-4A9DDBFCF9C5}">
  <dimension ref="C4:H10"/>
  <sheetViews>
    <sheetView workbookViewId="0">
      <selection activeCell="E13" sqref="E13"/>
    </sheetView>
  </sheetViews>
  <sheetFormatPr defaultRowHeight="16" x14ac:dyDescent="0.4"/>
  <cols>
    <col min="4" max="4" width="9.6640625" bestFit="1" customWidth="1"/>
    <col min="5" max="5" width="10.83203125" bestFit="1" customWidth="1"/>
  </cols>
  <sheetData>
    <row r="4" spans="3:8" x14ac:dyDescent="0.4">
      <c r="C4">
        <v>1005</v>
      </c>
      <c r="D4" t="str">
        <f>VLOOKUP($C$4,Vlookup!$A$2:$E$11,2,0)</f>
        <v>Smartphone</v>
      </c>
      <c r="E4" t="str">
        <f>VLOOKUP($C$4,Vlookup!$A$2:$E$11,3,0)</f>
        <v>Electronics</v>
      </c>
      <c r="F4">
        <f>VLOOKUP($C$4,Vlookup!$A$2:$E$11,4,0)</f>
        <v>3</v>
      </c>
      <c r="G4">
        <f>VLOOKUP($C$4,Vlookup!$A$2:$E$11,5,0)</f>
        <v>400</v>
      </c>
    </row>
    <row r="6" spans="3:8" x14ac:dyDescent="0.4">
      <c r="H6">
        <f>G4*0.2</f>
        <v>80</v>
      </c>
    </row>
    <row r="8" spans="3:8" x14ac:dyDescent="0.4">
      <c r="C8">
        <v>65345</v>
      </c>
      <c r="D8" t="str">
        <f>IFERROR(VLOOKUP($C$8,Vlookup!$A$2:$E$11,2,0),"0")</f>
        <v>0</v>
      </c>
      <c r="E8" t="str">
        <f>IFERROR(VLOOKUP($C$8,Vlookup!$A$2:$E$11,3,0),"0")</f>
        <v>0</v>
      </c>
      <c r="F8" t="str">
        <f>IFERROR(VLOOKUP($C$8,Vlookup!$A$2:$E$11,4,0),"0")</f>
        <v>0</v>
      </c>
      <c r="G8" t="str">
        <f>IFERROR(VLOOKUP($C$8,Vlookup!$A$2:$E$11,5,0),"0")</f>
        <v>0</v>
      </c>
    </row>
    <row r="10" spans="3:8" x14ac:dyDescent="0.4">
      <c r="H10">
        <f>G8*0.2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CBA20-32F8-473C-BE23-082E27D25242}">
  <dimension ref="A1:K12"/>
  <sheetViews>
    <sheetView workbookViewId="0">
      <selection activeCell="E8" sqref="E8"/>
    </sheetView>
  </sheetViews>
  <sheetFormatPr defaultRowHeight="16" x14ac:dyDescent="0.4"/>
  <cols>
    <col min="1" max="1" width="11.9140625" bestFit="1" customWidth="1"/>
    <col min="2" max="3" width="9.75" bestFit="1" customWidth="1"/>
    <col min="4" max="5" width="13.25" bestFit="1" customWidth="1"/>
    <col min="6" max="6" width="10.5" bestFit="1" customWidth="1"/>
    <col min="7" max="7" width="9.75" bestFit="1" customWidth="1"/>
    <col min="8" max="8" width="10.83203125" bestFit="1" customWidth="1"/>
    <col min="9" max="9" width="13.25" bestFit="1" customWidth="1"/>
    <col min="10" max="10" width="11" bestFit="1" customWidth="1"/>
    <col min="11" max="11" width="13.25" bestFit="1" customWidth="1"/>
  </cols>
  <sheetData>
    <row r="1" spans="1:11" x14ac:dyDescent="0.4">
      <c r="A1" s="6" t="s">
        <v>12</v>
      </c>
      <c r="B1">
        <v>1001</v>
      </c>
      <c r="C1">
        <v>1002</v>
      </c>
      <c r="D1">
        <v>1003</v>
      </c>
      <c r="E1">
        <v>1004</v>
      </c>
      <c r="F1">
        <v>1005</v>
      </c>
      <c r="G1">
        <v>1006</v>
      </c>
      <c r="H1">
        <v>1007</v>
      </c>
      <c r="I1">
        <v>1008</v>
      </c>
      <c r="J1">
        <v>1009</v>
      </c>
      <c r="K1">
        <v>1010</v>
      </c>
    </row>
    <row r="2" spans="1:11" x14ac:dyDescent="0.4">
      <c r="A2" s="6" t="s">
        <v>13</v>
      </c>
      <c r="B2" t="s">
        <v>17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H2" t="s">
        <v>25</v>
      </c>
      <c r="I2" t="s">
        <v>27</v>
      </c>
      <c r="J2" t="s">
        <v>28</v>
      </c>
      <c r="K2" t="s">
        <v>29</v>
      </c>
    </row>
    <row r="3" spans="1:11" x14ac:dyDescent="0.4">
      <c r="A3" s="6" t="s">
        <v>14</v>
      </c>
      <c r="B3" t="s">
        <v>18</v>
      </c>
      <c r="C3" t="s">
        <v>18</v>
      </c>
      <c r="D3" t="s">
        <v>21</v>
      </c>
      <c r="E3" t="s">
        <v>21</v>
      </c>
      <c r="F3" t="s">
        <v>18</v>
      </c>
      <c r="G3" t="s">
        <v>18</v>
      </c>
      <c r="H3" t="s">
        <v>26</v>
      </c>
      <c r="I3" t="s">
        <v>21</v>
      </c>
      <c r="J3" t="s">
        <v>18</v>
      </c>
      <c r="K3" t="s">
        <v>21</v>
      </c>
    </row>
    <row r="4" spans="1:11" x14ac:dyDescent="0.4">
      <c r="A4" s="6" t="s">
        <v>15</v>
      </c>
      <c r="B4">
        <v>2</v>
      </c>
      <c r="C4">
        <v>1</v>
      </c>
      <c r="D4">
        <v>1</v>
      </c>
      <c r="E4">
        <v>4</v>
      </c>
      <c r="F4">
        <v>3</v>
      </c>
      <c r="G4">
        <v>2</v>
      </c>
      <c r="H4">
        <v>1</v>
      </c>
      <c r="I4">
        <v>2</v>
      </c>
      <c r="J4">
        <v>2</v>
      </c>
      <c r="K4">
        <v>1</v>
      </c>
    </row>
    <row r="5" spans="1:11" x14ac:dyDescent="0.4">
      <c r="A5" s="6" t="s">
        <v>16</v>
      </c>
      <c r="B5">
        <v>800</v>
      </c>
      <c r="C5">
        <v>300</v>
      </c>
      <c r="D5">
        <v>200</v>
      </c>
      <c r="E5">
        <v>50</v>
      </c>
      <c r="F5">
        <v>400</v>
      </c>
      <c r="G5">
        <v>250</v>
      </c>
      <c r="H5">
        <v>30</v>
      </c>
      <c r="I5">
        <v>150</v>
      </c>
      <c r="J5">
        <v>100</v>
      </c>
      <c r="K5">
        <v>120</v>
      </c>
    </row>
    <row r="8" spans="1:11" x14ac:dyDescent="0.4">
      <c r="C8" s="6" t="s">
        <v>12</v>
      </c>
      <c r="D8">
        <v>1006</v>
      </c>
      <c r="E8">
        <v>1007</v>
      </c>
    </row>
    <row r="9" spans="1:11" x14ac:dyDescent="0.4">
      <c r="C9" s="6" t="s">
        <v>13</v>
      </c>
      <c r="D9">
        <f>HLOOKUP(D8,B1:K5,5,0)</f>
        <v>250</v>
      </c>
      <c r="E9" t="str">
        <f>HLOOKUP($E$8,$B$1:$K$5,2,0)</f>
        <v>Desk Lamp</v>
      </c>
    </row>
    <row r="10" spans="1:11" x14ac:dyDescent="0.4">
      <c r="C10" s="6" t="s">
        <v>14</v>
      </c>
      <c r="E10" t="str">
        <f>HLOOKUP($E$8,$B$1:$K$5,3,0)</f>
        <v>Home Decor</v>
      </c>
    </row>
    <row r="11" spans="1:11" x14ac:dyDescent="0.4">
      <c r="C11" s="6" t="s">
        <v>15</v>
      </c>
      <c r="E11">
        <f>HLOOKUP($E$8,$B$1:$K$5,4,0)</f>
        <v>1</v>
      </c>
    </row>
    <row r="12" spans="1:11" x14ac:dyDescent="0.4">
      <c r="C12" s="6" t="s">
        <v>16</v>
      </c>
      <c r="E12">
        <f>HLOOKUP($E$8,$B$1:$K$5,5,0)</f>
        <v>30</v>
      </c>
    </row>
  </sheetData>
  <dataValidations count="1">
    <dataValidation type="list" allowBlank="1" showInputMessage="1" showErrorMessage="1" sqref="E8" xr:uid="{08DEA27C-093A-4903-A8A8-0597AE561FDD}">
      <formula1>$B$1:$K$1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F85BD-07E9-4DE2-9A8F-EA97AD0C0BFA}">
  <dimension ref="A1:H10"/>
  <sheetViews>
    <sheetView workbookViewId="0">
      <selection activeCell="J5" sqref="J5"/>
    </sheetView>
  </sheetViews>
  <sheetFormatPr defaultRowHeight="16" x14ac:dyDescent="0.4"/>
  <sheetData>
    <row r="1" spans="1:8" x14ac:dyDescent="0.4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56</v>
      </c>
    </row>
    <row r="2" spans="1:8" x14ac:dyDescent="0.4">
      <c r="A2" t="s">
        <v>42</v>
      </c>
      <c r="B2" cm="1">
        <f t="array" aca="1" ref="B2:E10" ca="1">_xlfn.RANDARRAY(9,4,20,100,1)</f>
        <v>67</v>
      </c>
      <c r="C2">
        <f ca="1"/>
        <v>24</v>
      </c>
      <c r="D2">
        <f ca="1"/>
        <v>67</v>
      </c>
      <c r="E2">
        <f ca="1"/>
        <v>95</v>
      </c>
      <c r="F2" t="str">
        <f ca="1">IF(B2&gt;80, "A",IF(B2&gt;60, "B", "C"))</f>
        <v>B</v>
      </c>
      <c r="G2" t="str">
        <f ca="1">IF(AVERAGE(B2:E2)&gt;80, "A",IF(AVERAGE(B2:E2)&gt;60, "B",IF(AVERAGE(B2:E2)&gt;40, "C", "F")))</f>
        <v>B</v>
      </c>
      <c r="H2">
        <f ca="1">AVERAGE(B2:E2)</f>
        <v>63.25</v>
      </c>
    </row>
    <row r="3" spans="1:8" x14ac:dyDescent="0.4">
      <c r="A3" t="s">
        <v>43</v>
      </c>
      <c r="B3">
        <f ca="1"/>
        <v>52</v>
      </c>
      <c r="C3">
        <f ca="1"/>
        <v>77</v>
      </c>
      <c r="D3">
        <f ca="1"/>
        <v>64</v>
      </c>
      <c r="E3">
        <f ca="1"/>
        <v>82</v>
      </c>
      <c r="F3" t="str">
        <f t="shared" ref="F3:F10" ca="1" si="0">IF(B3&gt;80, "A",IF(B3&gt;60, "B", "C"))</f>
        <v>C</v>
      </c>
      <c r="G3" t="str">
        <f t="shared" ref="G3:G10" ca="1" si="1">IF(AVERAGE(B3:E3)&gt;80, "A",IF(AVERAGE(B3:E3)&gt;60, "B",IF(AVERAGE(B3:E3)&gt;40, "C", "F")))</f>
        <v>B</v>
      </c>
      <c r="H3">
        <f t="shared" ref="H3:H10" ca="1" si="2">AVERAGE(B3:E3)</f>
        <v>68.75</v>
      </c>
    </row>
    <row r="4" spans="1:8" x14ac:dyDescent="0.4">
      <c r="A4" t="s">
        <v>44</v>
      </c>
      <c r="B4">
        <f ca="1"/>
        <v>27</v>
      </c>
      <c r="C4">
        <f ca="1"/>
        <v>87</v>
      </c>
      <c r="D4">
        <f ca="1"/>
        <v>46</v>
      </c>
      <c r="E4">
        <f ca="1"/>
        <v>47</v>
      </c>
      <c r="F4" t="str">
        <f t="shared" ca="1" si="0"/>
        <v>C</v>
      </c>
      <c r="G4" t="str">
        <f t="shared" ca="1" si="1"/>
        <v>C</v>
      </c>
      <c r="H4">
        <f t="shared" ca="1" si="2"/>
        <v>51.75</v>
      </c>
    </row>
    <row r="5" spans="1:8" x14ac:dyDescent="0.4">
      <c r="A5" t="s">
        <v>45</v>
      </c>
      <c r="B5">
        <f ca="1"/>
        <v>30</v>
      </c>
      <c r="C5">
        <f ca="1"/>
        <v>34</v>
      </c>
      <c r="D5">
        <f ca="1"/>
        <v>68</v>
      </c>
      <c r="E5">
        <f ca="1"/>
        <v>97</v>
      </c>
      <c r="F5" t="str">
        <f t="shared" ca="1" si="0"/>
        <v>C</v>
      </c>
      <c r="G5" t="str">
        <f t="shared" ca="1" si="1"/>
        <v>C</v>
      </c>
      <c r="H5">
        <f t="shared" ca="1" si="2"/>
        <v>57.25</v>
      </c>
    </row>
    <row r="6" spans="1:8" x14ac:dyDescent="0.4">
      <c r="A6" t="s">
        <v>46</v>
      </c>
      <c r="B6">
        <f ca="1"/>
        <v>26</v>
      </c>
      <c r="C6">
        <f ca="1"/>
        <v>67</v>
      </c>
      <c r="D6">
        <f ca="1"/>
        <v>69</v>
      </c>
      <c r="E6">
        <f ca="1"/>
        <v>48</v>
      </c>
      <c r="F6" t="str">
        <f t="shared" ca="1" si="0"/>
        <v>C</v>
      </c>
      <c r="G6" t="str">
        <f t="shared" ca="1" si="1"/>
        <v>C</v>
      </c>
      <c r="H6">
        <f t="shared" ca="1" si="2"/>
        <v>52.5</v>
      </c>
    </row>
    <row r="7" spans="1:8" x14ac:dyDescent="0.4">
      <c r="A7" t="s">
        <v>47</v>
      </c>
      <c r="B7">
        <f ca="1"/>
        <v>26</v>
      </c>
      <c r="C7">
        <f ca="1"/>
        <v>30</v>
      </c>
      <c r="D7">
        <f ca="1"/>
        <v>31</v>
      </c>
      <c r="E7">
        <f ca="1"/>
        <v>64</v>
      </c>
      <c r="F7" t="str">
        <f t="shared" ca="1" si="0"/>
        <v>C</v>
      </c>
      <c r="G7" t="str">
        <f t="shared" ca="1" si="1"/>
        <v>F</v>
      </c>
      <c r="H7">
        <f t="shared" ca="1" si="2"/>
        <v>37.75</v>
      </c>
    </row>
    <row r="8" spans="1:8" x14ac:dyDescent="0.4">
      <c r="A8" t="s">
        <v>48</v>
      </c>
      <c r="B8">
        <f ca="1"/>
        <v>85</v>
      </c>
      <c r="C8">
        <f ca="1"/>
        <v>43</v>
      </c>
      <c r="D8">
        <f ca="1"/>
        <v>26</v>
      </c>
      <c r="E8">
        <f ca="1"/>
        <v>79</v>
      </c>
      <c r="F8" t="str">
        <f t="shared" ca="1" si="0"/>
        <v>A</v>
      </c>
      <c r="G8" t="str">
        <f t="shared" ca="1" si="1"/>
        <v>C</v>
      </c>
      <c r="H8">
        <f t="shared" ca="1" si="2"/>
        <v>58.25</v>
      </c>
    </row>
    <row r="9" spans="1:8" x14ac:dyDescent="0.4">
      <c r="A9" t="s">
        <v>49</v>
      </c>
      <c r="B9">
        <f ca="1"/>
        <v>45</v>
      </c>
      <c r="C9">
        <f ca="1"/>
        <v>57</v>
      </c>
      <c r="D9">
        <f ca="1"/>
        <v>74</v>
      </c>
      <c r="E9">
        <f ca="1"/>
        <v>48</v>
      </c>
      <c r="F9" t="str">
        <f t="shared" ca="1" si="0"/>
        <v>C</v>
      </c>
      <c r="G9" t="str">
        <f t="shared" ca="1" si="1"/>
        <v>C</v>
      </c>
      <c r="H9">
        <f t="shared" ca="1" si="2"/>
        <v>56</v>
      </c>
    </row>
    <row r="10" spans="1:8" x14ac:dyDescent="0.4">
      <c r="A10" t="s">
        <v>50</v>
      </c>
      <c r="B10">
        <f ca="1"/>
        <v>26</v>
      </c>
      <c r="C10">
        <f ca="1"/>
        <v>29</v>
      </c>
      <c r="D10">
        <f ca="1"/>
        <v>98</v>
      </c>
      <c r="E10">
        <f ca="1"/>
        <v>23</v>
      </c>
      <c r="F10" t="str">
        <f t="shared" ca="1" si="0"/>
        <v>C</v>
      </c>
      <c r="G10" t="str">
        <f t="shared" ca="1" si="1"/>
        <v>C</v>
      </c>
      <c r="H10">
        <f t="shared" ca="1" si="2"/>
        <v>44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9F9C3-8F5F-4E6D-9271-379D9962A30B}">
  <dimension ref="A1:BL69"/>
  <sheetViews>
    <sheetView tabSelected="1" topLeftCell="C9" workbookViewId="0">
      <selection activeCell="M56" sqref="M56"/>
    </sheetView>
  </sheetViews>
  <sheetFormatPr defaultRowHeight="16" x14ac:dyDescent="0.4"/>
  <cols>
    <col min="1" max="1" width="7.33203125" bestFit="1" customWidth="1"/>
    <col min="2" max="2" width="11" bestFit="1" customWidth="1"/>
    <col min="3" max="3" width="13.25" bestFit="1" customWidth="1"/>
    <col min="4" max="4" width="7.5" bestFit="1" customWidth="1"/>
    <col min="5" max="5" width="11.33203125" bestFit="1" customWidth="1"/>
    <col min="8" max="8" width="11.33203125" bestFit="1" customWidth="1"/>
  </cols>
  <sheetData>
    <row r="1" spans="1:64" x14ac:dyDescent="0.4">
      <c r="A1" t="s">
        <v>12</v>
      </c>
      <c r="B1" t="s">
        <v>13</v>
      </c>
      <c r="C1" t="s">
        <v>14</v>
      </c>
      <c r="D1" t="s">
        <v>15</v>
      </c>
      <c r="E1" t="s">
        <v>16</v>
      </c>
    </row>
    <row r="2" spans="1:64" x14ac:dyDescent="0.4">
      <c r="A2">
        <v>1001</v>
      </c>
      <c r="B2" t="s">
        <v>17</v>
      </c>
      <c r="C2" t="s">
        <v>18</v>
      </c>
      <c r="D2">
        <v>2</v>
      </c>
      <c r="E2">
        <v>800</v>
      </c>
      <c r="H2" t="str" cm="1">
        <f t="array" ref="H2:R6">TRANSPOSE(A1:E11)</f>
        <v>Order ID</v>
      </c>
      <c r="I2">
        <v>1001</v>
      </c>
      <c r="J2">
        <v>1002</v>
      </c>
      <c r="K2">
        <v>1003</v>
      </c>
      <c r="L2">
        <v>1004</v>
      </c>
      <c r="M2">
        <v>1005</v>
      </c>
      <c r="N2">
        <v>1006</v>
      </c>
      <c r="O2">
        <v>1007</v>
      </c>
      <c r="P2">
        <v>1008</v>
      </c>
      <c r="Q2">
        <v>1009</v>
      </c>
      <c r="R2">
        <v>1010</v>
      </c>
    </row>
    <row r="3" spans="1:64" x14ac:dyDescent="0.4">
      <c r="A3">
        <v>1002</v>
      </c>
      <c r="B3" t="s">
        <v>19</v>
      </c>
      <c r="C3" t="s">
        <v>18</v>
      </c>
      <c r="D3">
        <v>1</v>
      </c>
      <c r="E3">
        <v>300</v>
      </c>
      <c r="H3" t="str">
        <v>Product</v>
      </c>
      <c r="I3" t="str">
        <v>Laptop</v>
      </c>
      <c r="J3" t="str">
        <v>Printer</v>
      </c>
      <c r="K3" t="str">
        <v>Desk</v>
      </c>
      <c r="L3" t="str">
        <v>Chair</v>
      </c>
      <c r="M3" t="str">
        <v>Smartphone</v>
      </c>
      <c r="N3" t="str">
        <v>Tablet</v>
      </c>
      <c r="O3" t="str">
        <v>Desk Lamp</v>
      </c>
      <c r="P3" t="str">
        <v>File Cabinet</v>
      </c>
      <c r="Q3" t="str">
        <v>Headphones</v>
      </c>
      <c r="R3" t="str">
        <v>Bookshelf</v>
      </c>
    </row>
    <row r="4" spans="1:64" x14ac:dyDescent="0.4">
      <c r="A4">
        <v>1003</v>
      </c>
      <c r="B4" t="s">
        <v>20</v>
      </c>
      <c r="C4" t="s">
        <v>21</v>
      </c>
      <c r="D4">
        <v>1</v>
      </c>
      <c r="E4">
        <v>200</v>
      </c>
      <c r="H4" t="str">
        <v>Category</v>
      </c>
      <c r="I4" t="str">
        <v>Electronics</v>
      </c>
      <c r="J4" t="str">
        <v>Electronics</v>
      </c>
      <c r="K4" t="str">
        <v>Office Furniture</v>
      </c>
      <c r="L4" t="str">
        <v>Office Furniture</v>
      </c>
      <c r="M4" t="str">
        <v>Electronics</v>
      </c>
      <c r="N4" t="str">
        <v>Electronics</v>
      </c>
      <c r="O4" t="str">
        <v>Home Decor</v>
      </c>
      <c r="P4" t="str">
        <v>Office Furniture</v>
      </c>
      <c r="Q4" t="str">
        <v>Electronics</v>
      </c>
      <c r="R4" t="str">
        <v>Office Furniture</v>
      </c>
    </row>
    <row r="5" spans="1:64" x14ac:dyDescent="0.4">
      <c r="A5">
        <v>1004</v>
      </c>
      <c r="B5" t="s">
        <v>22</v>
      </c>
      <c r="C5" t="s">
        <v>21</v>
      </c>
      <c r="D5">
        <v>4</v>
      </c>
      <c r="E5">
        <v>50</v>
      </c>
      <c r="H5" t="str">
        <v>Quantity</v>
      </c>
      <c r="I5">
        <v>2</v>
      </c>
      <c r="J5">
        <v>1</v>
      </c>
      <c r="K5">
        <v>1</v>
      </c>
      <c r="L5">
        <v>4</v>
      </c>
      <c r="M5">
        <v>3</v>
      </c>
      <c r="N5">
        <v>2</v>
      </c>
      <c r="O5">
        <v>1</v>
      </c>
      <c r="P5">
        <v>2</v>
      </c>
      <c r="Q5">
        <v>2</v>
      </c>
      <c r="R5">
        <v>1</v>
      </c>
    </row>
    <row r="6" spans="1:64" x14ac:dyDescent="0.4">
      <c r="A6">
        <v>1005</v>
      </c>
      <c r="B6" t="s">
        <v>23</v>
      </c>
      <c r="C6" t="s">
        <v>18</v>
      </c>
      <c r="D6">
        <v>3</v>
      </c>
      <c r="E6">
        <v>400</v>
      </c>
      <c r="H6" t="str">
        <v>Price per Unit</v>
      </c>
      <c r="I6">
        <v>800</v>
      </c>
      <c r="J6">
        <v>300</v>
      </c>
      <c r="K6">
        <v>200</v>
      </c>
      <c r="L6">
        <v>50</v>
      </c>
      <c r="M6">
        <v>400</v>
      </c>
      <c r="N6">
        <v>250</v>
      </c>
      <c r="O6">
        <v>30</v>
      </c>
      <c r="P6">
        <v>150</v>
      </c>
      <c r="Q6">
        <v>100</v>
      </c>
      <c r="R6">
        <v>120</v>
      </c>
    </row>
    <row r="7" spans="1:64" x14ac:dyDescent="0.4">
      <c r="A7">
        <v>1006</v>
      </c>
      <c r="B7" t="s">
        <v>24</v>
      </c>
      <c r="C7" t="s">
        <v>18</v>
      </c>
      <c r="D7">
        <v>2</v>
      </c>
      <c r="E7">
        <v>250</v>
      </c>
    </row>
    <row r="8" spans="1:64" x14ac:dyDescent="0.4">
      <c r="A8">
        <v>1007</v>
      </c>
      <c r="B8" t="s">
        <v>25</v>
      </c>
      <c r="C8" t="s">
        <v>26</v>
      </c>
      <c r="D8">
        <v>1</v>
      </c>
      <c r="E8">
        <v>30</v>
      </c>
    </row>
    <row r="9" spans="1:64" x14ac:dyDescent="0.4">
      <c r="A9">
        <v>1008</v>
      </c>
      <c r="B9" t="s">
        <v>27</v>
      </c>
      <c r="C9" t="s">
        <v>21</v>
      </c>
      <c r="D9">
        <v>2</v>
      </c>
      <c r="E9">
        <v>150</v>
      </c>
    </row>
    <row r="10" spans="1:64" x14ac:dyDescent="0.4">
      <c r="A10">
        <v>1009</v>
      </c>
      <c r="B10" t="s">
        <v>28</v>
      </c>
      <c r="C10" t="s">
        <v>18</v>
      </c>
      <c r="D10">
        <v>2</v>
      </c>
      <c r="E10">
        <v>100</v>
      </c>
    </row>
    <row r="11" spans="1:64" x14ac:dyDescent="0.4">
      <c r="A11">
        <v>1010</v>
      </c>
      <c r="B11" t="s">
        <v>29</v>
      </c>
      <c r="C11" t="s">
        <v>21</v>
      </c>
      <c r="D11">
        <v>1</v>
      </c>
      <c r="E11">
        <v>120</v>
      </c>
    </row>
    <row r="14" spans="1:64" x14ac:dyDescent="0.4">
      <c r="J14" t="str" cm="1">
        <f t="array" ref="J14:BL14">_xlfn.TOROW(A1:E11)</f>
        <v>Order ID</v>
      </c>
      <c r="K14" t="str">
        <v>Product</v>
      </c>
      <c r="L14" t="str">
        <v>Category</v>
      </c>
      <c r="M14" t="str">
        <v>Quantity</v>
      </c>
      <c r="N14" t="str">
        <v>Price per Unit</v>
      </c>
      <c r="O14">
        <v>1001</v>
      </c>
      <c r="P14" t="str">
        <v>Laptop</v>
      </c>
      <c r="Q14" t="str">
        <v>Electronics</v>
      </c>
      <c r="R14">
        <v>2</v>
      </c>
      <c r="S14">
        <v>800</v>
      </c>
      <c r="T14">
        <v>1002</v>
      </c>
      <c r="U14" t="str">
        <v>Printer</v>
      </c>
      <c r="V14" t="str">
        <v>Electronics</v>
      </c>
      <c r="W14">
        <v>1</v>
      </c>
      <c r="X14">
        <v>300</v>
      </c>
      <c r="Y14">
        <v>1003</v>
      </c>
      <c r="Z14" t="str">
        <v>Desk</v>
      </c>
      <c r="AA14" t="str">
        <v>Office Furniture</v>
      </c>
      <c r="AB14">
        <v>1</v>
      </c>
      <c r="AC14">
        <v>200</v>
      </c>
      <c r="AD14">
        <v>1004</v>
      </c>
      <c r="AE14" t="str">
        <v>Chair</v>
      </c>
      <c r="AF14" t="str">
        <v>Office Furniture</v>
      </c>
      <c r="AG14">
        <v>4</v>
      </c>
      <c r="AH14">
        <v>50</v>
      </c>
      <c r="AI14">
        <v>1005</v>
      </c>
      <c r="AJ14" t="str">
        <v>Smartphone</v>
      </c>
      <c r="AK14" t="str">
        <v>Electronics</v>
      </c>
      <c r="AL14">
        <v>3</v>
      </c>
      <c r="AM14">
        <v>400</v>
      </c>
      <c r="AN14">
        <v>1006</v>
      </c>
      <c r="AO14" t="str">
        <v>Tablet</v>
      </c>
      <c r="AP14" t="str">
        <v>Electronics</v>
      </c>
      <c r="AQ14">
        <v>2</v>
      </c>
      <c r="AR14">
        <v>250</v>
      </c>
      <c r="AS14">
        <v>1007</v>
      </c>
      <c r="AT14" t="str">
        <v>Desk Lamp</v>
      </c>
      <c r="AU14" t="str">
        <v>Home Decor</v>
      </c>
      <c r="AV14">
        <v>1</v>
      </c>
      <c r="AW14">
        <v>30</v>
      </c>
      <c r="AX14">
        <v>1008</v>
      </c>
      <c r="AY14" t="str">
        <v>File Cabinet</v>
      </c>
      <c r="AZ14" t="str">
        <v>Office Furniture</v>
      </c>
      <c r="BA14">
        <v>2</v>
      </c>
      <c r="BB14">
        <v>150</v>
      </c>
      <c r="BC14">
        <v>1009</v>
      </c>
      <c r="BD14" t="str">
        <v>Headphones</v>
      </c>
      <c r="BE14" t="str">
        <v>Electronics</v>
      </c>
      <c r="BF14">
        <v>2</v>
      </c>
      <c r="BG14">
        <v>100</v>
      </c>
      <c r="BH14">
        <v>1010</v>
      </c>
      <c r="BI14" t="str">
        <v>Bookshelf</v>
      </c>
      <c r="BJ14" t="str">
        <v>Office Furniture</v>
      </c>
      <c r="BK14">
        <v>1</v>
      </c>
      <c r="BL14">
        <v>120</v>
      </c>
    </row>
    <row r="15" spans="1:64" x14ac:dyDescent="0.4">
      <c r="A15" t="str" cm="1">
        <f t="array" ref="A15:A69">_xlfn.TOCOL(A1:E11)</f>
        <v>Order ID</v>
      </c>
    </row>
    <row r="16" spans="1:64" x14ac:dyDescent="0.4">
      <c r="A16" t="str">
        <v>Product</v>
      </c>
      <c r="C16" t="str" cm="1">
        <f t="array" ref="C16:G26">TRANSPOSE(_xlfn.WRAPCOLS(_xlfn.ANCHORARRAY(A15),5))</f>
        <v>Order ID</v>
      </c>
      <c r="D16" t="str">
        <v>Product</v>
      </c>
      <c r="E16" t="str">
        <v>Category</v>
      </c>
      <c r="F16" t="str">
        <v>Quantity</v>
      </c>
      <c r="G16" t="str">
        <v>Price per Unit</v>
      </c>
    </row>
    <row r="17" spans="1:14" x14ac:dyDescent="0.4">
      <c r="A17" t="str">
        <v>Category</v>
      </c>
      <c r="C17">
        <v>1001</v>
      </c>
      <c r="D17" t="str">
        <v>Laptop</v>
      </c>
      <c r="E17" t="str">
        <v>Electronics</v>
      </c>
      <c r="F17">
        <v>2</v>
      </c>
      <c r="G17">
        <v>800</v>
      </c>
      <c r="J17" t="str" cm="1">
        <f t="array" ref="J17:N27">_xlfn.WRAPROWS(_xlfn.ANCHORARRAY(J14),5)</f>
        <v>Order ID</v>
      </c>
      <c r="K17" t="str">
        <v>Product</v>
      </c>
      <c r="L17" t="str">
        <v>Category</v>
      </c>
      <c r="M17" t="str">
        <v>Quantity</v>
      </c>
      <c r="N17" t="str">
        <v>Price per Unit</v>
      </c>
    </row>
    <row r="18" spans="1:14" x14ac:dyDescent="0.4">
      <c r="A18" t="str">
        <v>Quantity</v>
      </c>
      <c r="C18">
        <v>1002</v>
      </c>
      <c r="D18" t="str">
        <v>Printer</v>
      </c>
      <c r="E18" t="str">
        <v>Electronics</v>
      </c>
      <c r="F18">
        <v>1</v>
      </c>
      <c r="G18">
        <v>300</v>
      </c>
      <c r="J18">
        <v>1001</v>
      </c>
      <c r="K18" t="str">
        <v>Laptop</v>
      </c>
      <c r="L18" t="str">
        <v>Electronics</v>
      </c>
      <c r="M18">
        <v>2</v>
      </c>
      <c r="N18">
        <v>800</v>
      </c>
    </row>
    <row r="19" spans="1:14" x14ac:dyDescent="0.4">
      <c r="A19" t="str">
        <v>Price per Unit</v>
      </c>
      <c r="C19">
        <v>1003</v>
      </c>
      <c r="D19" t="str">
        <v>Desk</v>
      </c>
      <c r="E19" t="str">
        <v>Office Furniture</v>
      </c>
      <c r="F19">
        <v>1</v>
      </c>
      <c r="G19">
        <v>200</v>
      </c>
      <c r="J19">
        <v>1002</v>
      </c>
      <c r="K19" t="str">
        <v>Printer</v>
      </c>
      <c r="L19" t="str">
        <v>Electronics</v>
      </c>
      <c r="M19">
        <v>1</v>
      </c>
      <c r="N19">
        <v>300</v>
      </c>
    </row>
    <row r="20" spans="1:14" x14ac:dyDescent="0.4">
      <c r="A20">
        <v>1001</v>
      </c>
      <c r="C20">
        <v>1004</v>
      </c>
      <c r="D20" t="str">
        <v>Chair</v>
      </c>
      <c r="E20" t="str">
        <v>Office Furniture</v>
      </c>
      <c r="F20">
        <v>4</v>
      </c>
      <c r="G20">
        <v>50</v>
      </c>
      <c r="J20">
        <v>1003</v>
      </c>
      <c r="K20" t="str">
        <v>Desk</v>
      </c>
      <c r="L20" t="str">
        <v>Office Furniture</v>
      </c>
      <c r="M20">
        <v>1</v>
      </c>
      <c r="N20">
        <v>200</v>
      </c>
    </row>
    <row r="21" spans="1:14" x14ac:dyDescent="0.4">
      <c r="A21" t="str">
        <v>Laptop</v>
      </c>
      <c r="C21">
        <v>1005</v>
      </c>
      <c r="D21" t="str">
        <v>Smartphone</v>
      </c>
      <c r="E21" t="str">
        <v>Electronics</v>
      </c>
      <c r="F21">
        <v>3</v>
      </c>
      <c r="G21">
        <v>400</v>
      </c>
      <c r="J21">
        <v>1004</v>
      </c>
      <c r="K21" t="str">
        <v>Chair</v>
      </c>
      <c r="L21" t="str">
        <v>Office Furniture</v>
      </c>
      <c r="M21">
        <v>4</v>
      </c>
      <c r="N21">
        <v>50</v>
      </c>
    </row>
    <row r="22" spans="1:14" x14ac:dyDescent="0.4">
      <c r="A22" t="str">
        <v>Electronics</v>
      </c>
      <c r="C22">
        <v>1006</v>
      </c>
      <c r="D22" t="str">
        <v>Tablet</v>
      </c>
      <c r="E22" t="str">
        <v>Electronics</v>
      </c>
      <c r="F22">
        <v>2</v>
      </c>
      <c r="G22">
        <v>250</v>
      </c>
      <c r="J22">
        <v>1005</v>
      </c>
      <c r="K22" t="str">
        <v>Smartphone</v>
      </c>
      <c r="L22" t="str">
        <v>Electronics</v>
      </c>
      <c r="M22">
        <v>3</v>
      </c>
      <c r="N22">
        <v>400</v>
      </c>
    </row>
    <row r="23" spans="1:14" x14ac:dyDescent="0.4">
      <c r="A23">
        <v>2</v>
      </c>
      <c r="C23">
        <v>1007</v>
      </c>
      <c r="D23" t="str">
        <v>Desk Lamp</v>
      </c>
      <c r="E23" t="str">
        <v>Home Decor</v>
      </c>
      <c r="F23">
        <v>1</v>
      </c>
      <c r="G23">
        <v>30</v>
      </c>
      <c r="J23">
        <v>1006</v>
      </c>
      <c r="K23" t="str">
        <v>Tablet</v>
      </c>
      <c r="L23" t="str">
        <v>Electronics</v>
      </c>
      <c r="M23">
        <v>2</v>
      </c>
      <c r="N23">
        <v>250</v>
      </c>
    </row>
    <row r="24" spans="1:14" x14ac:dyDescent="0.4">
      <c r="A24">
        <v>800</v>
      </c>
      <c r="C24">
        <v>1008</v>
      </c>
      <c r="D24" t="str">
        <v>File Cabinet</v>
      </c>
      <c r="E24" t="str">
        <v>Office Furniture</v>
      </c>
      <c r="F24">
        <v>2</v>
      </c>
      <c r="G24">
        <v>150</v>
      </c>
      <c r="J24">
        <v>1007</v>
      </c>
      <c r="K24" t="str">
        <v>Desk Lamp</v>
      </c>
      <c r="L24" t="str">
        <v>Home Decor</v>
      </c>
      <c r="M24">
        <v>1</v>
      </c>
      <c r="N24">
        <v>30</v>
      </c>
    </row>
    <row r="25" spans="1:14" x14ac:dyDescent="0.4">
      <c r="A25">
        <v>1002</v>
      </c>
      <c r="C25">
        <v>1009</v>
      </c>
      <c r="D25" t="str">
        <v>Headphones</v>
      </c>
      <c r="E25" t="str">
        <v>Electronics</v>
      </c>
      <c r="F25">
        <v>2</v>
      </c>
      <c r="G25">
        <v>100</v>
      </c>
      <c r="J25">
        <v>1008</v>
      </c>
      <c r="K25" t="str">
        <v>File Cabinet</v>
      </c>
      <c r="L25" t="str">
        <v>Office Furniture</v>
      </c>
      <c r="M25">
        <v>2</v>
      </c>
      <c r="N25">
        <v>150</v>
      </c>
    </row>
    <row r="26" spans="1:14" x14ac:dyDescent="0.4">
      <c r="A26" t="str">
        <v>Printer</v>
      </c>
      <c r="C26">
        <v>1010</v>
      </c>
      <c r="D26" t="str">
        <v>Bookshelf</v>
      </c>
      <c r="E26" t="str">
        <v>Office Furniture</v>
      </c>
      <c r="F26">
        <v>1</v>
      </c>
      <c r="G26">
        <v>120</v>
      </c>
      <c r="J26">
        <v>1009</v>
      </c>
      <c r="K26" t="str">
        <v>Headphones</v>
      </c>
      <c r="L26" t="str">
        <v>Electronics</v>
      </c>
      <c r="M26">
        <v>2</v>
      </c>
      <c r="N26">
        <v>100</v>
      </c>
    </row>
    <row r="27" spans="1:14" x14ac:dyDescent="0.4">
      <c r="A27" t="str">
        <v>Electronics</v>
      </c>
      <c r="J27">
        <v>1010</v>
      </c>
      <c r="K27" t="str">
        <v>Bookshelf</v>
      </c>
      <c r="L27" t="str">
        <v>Office Furniture</v>
      </c>
      <c r="M27">
        <v>1</v>
      </c>
      <c r="N27">
        <v>120</v>
      </c>
    </row>
    <row r="28" spans="1:14" x14ac:dyDescent="0.4">
      <c r="A28">
        <v>1</v>
      </c>
    </row>
    <row r="29" spans="1:14" x14ac:dyDescent="0.4">
      <c r="A29">
        <v>300</v>
      </c>
    </row>
    <row r="30" spans="1:14" x14ac:dyDescent="0.4">
      <c r="A30">
        <v>1003</v>
      </c>
    </row>
    <row r="31" spans="1:14" x14ac:dyDescent="0.4">
      <c r="A31" t="str">
        <v>Desk</v>
      </c>
      <c r="D31" t="str" cm="1">
        <f t="array" ref="D31:H61">_xlfn.VSTACK(A1:E11,C17:G26,J18:N27)</f>
        <v>Order ID</v>
      </c>
      <c r="E31" t="str">
        <v>Product</v>
      </c>
      <c r="F31" t="str">
        <v>Category</v>
      </c>
      <c r="G31" t="str">
        <v>Quantity</v>
      </c>
      <c r="H31" t="str">
        <v>Price per Unit</v>
      </c>
      <c r="I31">
        <f>ROW(I1)</f>
        <v>1</v>
      </c>
    </row>
    <row r="32" spans="1:14" x14ac:dyDescent="0.4">
      <c r="A32" t="str">
        <v>Office Furniture</v>
      </c>
      <c r="D32">
        <v>1001</v>
      </c>
      <c r="E32" t="str">
        <v>Laptop</v>
      </c>
      <c r="F32" t="str">
        <v>Electronics</v>
      </c>
      <c r="G32">
        <v>2</v>
      </c>
      <c r="H32">
        <v>800</v>
      </c>
      <c r="I32">
        <f t="shared" ref="I32:I61" si="0">ROW(I2)</f>
        <v>2</v>
      </c>
    </row>
    <row r="33" spans="1:9" x14ac:dyDescent="0.4">
      <c r="A33">
        <v>1</v>
      </c>
      <c r="D33">
        <v>1002</v>
      </c>
      <c r="E33" t="str">
        <v>Printer</v>
      </c>
      <c r="F33" t="str">
        <v>Electronics</v>
      </c>
      <c r="G33">
        <v>1</v>
      </c>
      <c r="H33">
        <v>300</v>
      </c>
      <c r="I33">
        <f t="shared" si="0"/>
        <v>3</v>
      </c>
    </row>
    <row r="34" spans="1:9" x14ac:dyDescent="0.4">
      <c r="A34">
        <v>200</v>
      </c>
      <c r="D34">
        <v>1003</v>
      </c>
      <c r="E34" t="str">
        <v>Desk</v>
      </c>
      <c r="F34" t="str">
        <v>Office Furniture</v>
      </c>
      <c r="G34">
        <v>1</v>
      </c>
      <c r="H34">
        <v>200</v>
      </c>
      <c r="I34">
        <f t="shared" si="0"/>
        <v>4</v>
      </c>
    </row>
    <row r="35" spans="1:9" x14ac:dyDescent="0.4">
      <c r="A35">
        <v>1004</v>
      </c>
      <c r="D35">
        <v>1004</v>
      </c>
      <c r="E35" t="str">
        <v>Chair</v>
      </c>
      <c r="F35" t="str">
        <v>Office Furniture</v>
      </c>
      <c r="G35">
        <v>4</v>
      </c>
      <c r="H35">
        <v>50</v>
      </c>
      <c r="I35">
        <f t="shared" si="0"/>
        <v>5</v>
      </c>
    </row>
    <row r="36" spans="1:9" x14ac:dyDescent="0.4">
      <c r="A36" t="str">
        <v>Chair</v>
      </c>
      <c r="D36">
        <v>1005</v>
      </c>
      <c r="E36" t="str">
        <v>Smartphone</v>
      </c>
      <c r="F36" t="str">
        <v>Electronics</v>
      </c>
      <c r="G36">
        <v>3</v>
      </c>
      <c r="H36">
        <v>400</v>
      </c>
      <c r="I36">
        <f t="shared" si="0"/>
        <v>6</v>
      </c>
    </row>
    <row r="37" spans="1:9" x14ac:dyDescent="0.4">
      <c r="A37" t="str">
        <v>Office Furniture</v>
      </c>
      <c r="D37">
        <v>1006</v>
      </c>
      <c r="E37" t="str">
        <v>Tablet</v>
      </c>
      <c r="F37" t="str">
        <v>Electronics</v>
      </c>
      <c r="G37">
        <v>2</v>
      </c>
      <c r="H37">
        <v>250</v>
      </c>
      <c r="I37">
        <f t="shared" si="0"/>
        <v>7</v>
      </c>
    </row>
    <row r="38" spans="1:9" x14ac:dyDescent="0.4">
      <c r="A38">
        <v>4</v>
      </c>
      <c r="D38">
        <v>1007</v>
      </c>
      <c r="E38" t="str">
        <v>Desk Lamp</v>
      </c>
      <c r="F38" t="str">
        <v>Home Decor</v>
      </c>
      <c r="G38">
        <v>1</v>
      </c>
      <c r="H38">
        <v>30</v>
      </c>
      <c r="I38">
        <f t="shared" si="0"/>
        <v>8</v>
      </c>
    </row>
    <row r="39" spans="1:9" x14ac:dyDescent="0.4">
      <c r="A39">
        <v>50</v>
      </c>
      <c r="D39">
        <v>1008</v>
      </c>
      <c r="E39" t="str">
        <v>File Cabinet</v>
      </c>
      <c r="F39" t="str">
        <v>Office Furniture</v>
      </c>
      <c r="G39">
        <v>2</v>
      </c>
      <c r="H39">
        <v>150</v>
      </c>
      <c r="I39">
        <f t="shared" si="0"/>
        <v>9</v>
      </c>
    </row>
    <row r="40" spans="1:9" x14ac:dyDescent="0.4">
      <c r="A40">
        <v>1005</v>
      </c>
      <c r="D40">
        <v>1009</v>
      </c>
      <c r="E40" t="str">
        <v>Headphones</v>
      </c>
      <c r="F40" t="str">
        <v>Electronics</v>
      </c>
      <c r="G40">
        <v>2</v>
      </c>
      <c r="H40">
        <v>100</v>
      </c>
      <c r="I40">
        <f t="shared" si="0"/>
        <v>10</v>
      </c>
    </row>
    <row r="41" spans="1:9" x14ac:dyDescent="0.4">
      <c r="A41" t="str">
        <v>Smartphone</v>
      </c>
      <c r="D41">
        <v>1010</v>
      </c>
      <c r="E41" t="str">
        <v>Bookshelf</v>
      </c>
      <c r="F41" t="str">
        <v>Office Furniture</v>
      </c>
      <c r="G41">
        <v>1</v>
      </c>
      <c r="H41">
        <v>120</v>
      </c>
      <c r="I41">
        <f t="shared" si="0"/>
        <v>11</v>
      </c>
    </row>
    <row r="42" spans="1:9" x14ac:dyDescent="0.4">
      <c r="A42" t="str">
        <v>Electronics</v>
      </c>
      <c r="D42">
        <v>1001</v>
      </c>
      <c r="E42" t="str">
        <v>Laptop</v>
      </c>
      <c r="F42" t="str">
        <v>Electronics</v>
      </c>
      <c r="G42">
        <v>2</v>
      </c>
      <c r="H42">
        <v>800</v>
      </c>
      <c r="I42">
        <f t="shared" si="0"/>
        <v>12</v>
      </c>
    </row>
    <row r="43" spans="1:9" x14ac:dyDescent="0.4">
      <c r="A43">
        <v>3</v>
      </c>
      <c r="D43">
        <v>1002</v>
      </c>
      <c r="E43" t="str">
        <v>Printer</v>
      </c>
      <c r="F43" t="str">
        <v>Electronics</v>
      </c>
      <c r="G43">
        <v>1</v>
      </c>
      <c r="H43">
        <v>300</v>
      </c>
      <c r="I43">
        <f t="shared" si="0"/>
        <v>13</v>
      </c>
    </row>
    <row r="44" spans="1:9" x14ac:dyDescent="0.4">
      <c r="A44">
        <v>400</v>
      </c>
      <c r="D44">
        <v>1003</v>
      </c>
      <c r="E44" t="str">
        <v>Desk</v>
      </c>
      <c r="F44" t="str">
        <v>Office Furniture</v>
      </c>
      <c r="G44">
        <v>1</v>
      </c>
      <c r="H44">
        <v>200</v>
      </c>
      <c r="I44">
        <f t="shared" si="0"/>
        <v>14</v>
      </c>
    </row>
    <row r="45" spans="1:9" x14ac:dyDescent="0.4">
      <c r="A45">
        <v>1006</v>
      </c>
      <c r="D45">
        <v>1004</v>
      </c>
      <c r="E45" t="str">
        <v>Chair</v>
      </c>
      <c r="F45" t="str">
        <v>Office Furniture</v>
      </c>
      <c r="G45">
        <v>4</v>
      </c>
      <c r="H45">
        <v>50</v>
      </c>
      <c r="I45">
        <f t="shared" si="0"/>
        <v>15</v>
      </c>
    </row>
    <row r="46" spans="1:9" x14ac:dyDescent="0.4">
      <c r="A46" t="str">
        <v>Tablet</v>
      </c>
      <c r="D46">
        <v>1005</v>
      </c>
      <c r="E46" t="str">
        <v>Smartphone</v>
      </c>
      <c r="F46" t="str">
        <v>Electronics</v>
      </c>
      <c r="G46">
        <v>3</v>
      </c>
      <c r="H46">
        <v>400</v>
      </c>
      <c r="I46">
        <f t="shared" si="0"/>
        <v>16</v>
      </c>
    </row>
    <row r="47" spans="1:9" x14ac:dyDescent="0.4">
      <c r="A47" t="str">
        <v>Electronics</v>
      </c>
      <c r="D47">
        <v>1006</v>
      </c>
      <c r="E47" t="str">
        <v>Tablet</v>
      </c>
      <c r="F47" t="str">
        <v>Electronics</v>
      </c>
      <c r="G47">
        <v>2</v>
      </c>
      <c r="H47">
        <v>250</v>
      </c>
      <c r="I47">
        <f t="shared" si="0"/>
        <v>17</v>
      </c>
    </row>
    <row r="48" spans="1:9" x14ac:dyDescent="0.4">
      <c r="A48">
        <v>2</v>
      </c>
      <c r="D48">
        <v>1007</v>
      </c>
      <c r="E48" t="str">
        <v>Desk Lamp</v>
      </c>
      <c r="F48" t="str">
        <v>Home Decor</v>
      </c>
      <c r="G48">
        <v>1</v>
      </c>
      <c r="H48">
        <v>30</v>
      </c>
      <c r="I48">
        <f t="shared" si="0"/>
        <v>18</v>
      </c>
    </row>
    <row r="49" spans="1:9" x14ac:dyDescent="0.4">
      <c r="A49">
        <v>250</v>
      </c>
      <c r="D49">
        <v>1008</v>
      </c>
      <c r="E49" t="str">
        <v>File Cabinet</v>
      </c>
      <c r="F49" t="str">
        <v>Office Furniture</v>
      </c>
      <c r="G49">
        <v>2</v>
      </c>
      <c r="H49">
        <v>150</v>
      </c>
      <c r="I49">
        <f t="shared" si="0"/>
        <v>19</v>
      </c>
    </row>
    <row r="50" spans="1:9" x14ac:dyDescent="0.4">
      <c r="A50">
        <v>1007</v>
      </c>
      <c r="D50">
        <v>1009</v>
      </c>
      <c r="E50" t="str">
        <v>Headphones</v>
      </c>
      <c r="F50" t="str">
        <v>Electronics</v>
      </c>
      <c r="G50">
        <v>2</v>
      </c>
      <c r="H50">
        <v>100</v>
      </c>
      <c r="I50">
        <f t="shared" si="0"/>
        <v>20</v>
      </c>
    </row>
    <row r="51" spans="1:9" x14ac:dyDescent="0.4">
      <c r="A51" t="str">
        <v>Desk Lamp</v>
      </c>
      <c r="D51">
        <v>1010</v>
      </c>
      <c r="E51" t="str">
        <v>Bookshelf</v>
      </c>
      <c r="F51" t="str">
        <v>Office Furniture</v>
      </c>
      <c r="G51">
        <v>1</v>
      </c>
      <c r="H51">
        <v>120</v>
      </c>
      <c r="I51">
        <f t="shared" si="0"/>
        <v>21</v>
      </c>
    </row>
    <row r="52" spans="1:9" x14ac:dyDescent="0.4">
      <c r="A52" t="str">
        <v>Home Decor</v>
      </c>
      <c r="D52">
        <v>1001</v>
      </c>
      <c r="E52" t="str">
        <v>Laptop</v>
      </c>
      <c r="F52" t="str">
        <v>Electronics</v>
      </c>
      <c r="G52">
        <v>2</v>
      </c>
      <c r="H52">
        <v>800</v>
      </c>
      <c r="I52">
        <f t="shared" si="0"/>
        <v>22</v>
      </c>
    </row>
    <row r="53" spans="1:9" x14ac:dyDescent="0.4">
      <c r="A53">
        <v>1</v>
      </c>
      <c r="D53">
        <v>1002</v>
      </c>
      <c r="E53" t="str">
        <v>Printer</v>
      </c>
      <c r="F53" t="str">
        <v>Electronics</v>
      </c>
      <c r="G53">
        <v>1</v>
      </c>
      <c r="H53">
        <v>300</v>
      </c>
      <c r="I53">
        <f t="shared" si="0"/>
        <v>23</v>
      </c>
    </row>
    <row r="54" spans="1:9" x14ac:dyDescent="0.4">
      <c r="A54">
        <v>30</v>
      </c>
      <c r="D54">
        <v>1003</v>
      </c>
      <c r="E54" t="str">
        <v>Desk</v>
      </c>
      <c r="F54" t="str">
        <v>Office Furniture</v>
      </c>
      <c r="G54">
        <v>1</v>
      </c>
      <c r="H54">
        <v>200</v>
      </c>
      <c r="I54">
        <f t="shared" si="0"/>
        <v>24</v>
      </c>
    </row>
    <row r="55" spans="1:9" x14ac:dyDescent="0.4">
      <c r="A55">
        <v>1008</v>
      </c>
      <c r="D55">
        <v>1004</v>
      </c>
      <c r="E55" t="str">
        <v>Chair</v>
      </c>
      <c r="F55" t="str">
        <v>Office Furniture</v>
      </c>
      <c r="G55">
        <v>4</v>
      </c>
      <c r="H55">
        <v>50</v>
      </c>
      <c r="I55">
        <f t="shared" si="0"/>
        <v>25</v>
      </c>
    </row>
    <row r="56" spans="1:9" x14ac:dyDescent="0.4">
      <c r="A56" t="str">
        <v>File Cabinet</v>
      </c>
      <c r="D56">
        <v>1005</v>
      </c>
      <c r="E56" t="str">
        <v>Smartphone</v>
      </c>
      <c r="F56" t="str">
        <v>Electronics</v>
      </c>
      <c r="G56">
        <v>3</v>
      </c>
      <c r="H56">
        <v>400</v>
      </c>
      <c r="I56">
        <f t="shared" si="0"/>
        <v>26</v>
      </c>
    </row>
    <row r="57" spans="1:9" x14ac:dyDescent="0.4">
      <c r="A57" t="str">
        <v>Office Furniture</v>
      </c>
      <c r="D57">
        <v>1006</v>
      </c>
      <c r="E57" t="str">
        <v>Tablet</v>
      </c>
      <c r="F57" t="str">
        <v>Electronics</v>
      </c>
      <c r="G57">
        <v>2</v>
      </c>
      <c r="H57">
        <v>250</v>
      </c>
      <c r="I57">
        <f t="shared" si="0"/>
        <v>27</v>
      </c>
    </row>
    <row r="58" spans="1:9" x14ac:dyDescent="0.4">
      <c r="A58">
        <v>2</v>
      </c>
      <c r="D58">
        <v>1007</v>
      </c>
      <c r="E58" t="str">
        <v>Desk Lamp</v>
      </c>
      <c r="F58" t="str">
        <v>Home Decor</v>
      </c>
      <c r="G58">
        <v>1</v>
      </c>
      <c r="H58">
        <v>30</v>
      </c>
      <c r="I58">
        <f t="shared" si="0"/>
        <v>28</v>
      </c>
    </row>
    <row r="59" spans="1:9" x14ac:dyDescent="0.4">
      <c r="A59">
        <v>150</v>
      </c>
      <c r="D59">
        <v>1008</v>
      </c>
      <c r="E59" t="str">
        <v>File Cabinet</v>
      </c>
      <c r="F59" t="str">
        <v>Office Furniture</v>
      </c>
      <c r="G59">
        <v>2</v>
      </c>
      <c r="H59">
        <v>150</v>
      </c>
      <c r="I59">
        <f t="shared" si="0"/>
        <v>29</v>
      </c>
    </row>
    <row r="60" spans="1:9" x14ac:dyDescent="0.4">
      <c r="A60">
        <v>1009</v>
      </c>
      <c r="D60">
        <v>1009</v>
      </c>
      <c r="E60" t="str">
        <v>Headphones</v>
      </c>
      <c r="F60" t="str">
        <v>Electronics</v>
      </c>
      <c r="G60">
        <v>2</v>
      </c>
      <c r="H60">
        <v>100</v>
      </c>
      <c r="I60">
        <f t="shared" si="0"/>
        <v>30</v>
      </c>
    </row>
    <row r="61" spans="1:9" x14ac:dyDescent="0.4">
      <c r="A61" t="str">
        <v>Headphones</v>
      </c>
      <c r="D61">
        <v>1010</v>
      </c>
      <c r="E61" t="str">
        <v>Bookshelf</v>
      </c>
      <c r="F61" t="str">
        <v>Office Furniture</v>
      </c>
      <c r="G61">
        <v>1</v>
      </c>
      <c r="H61">
        <v>120</v>
      </c>
      <c r="I61">
        <f t="shared" si="0"/>
        <v>31</v>
      </c>
    </row>
    <row r="62" spans="1:9" x14ac:dyDescent="0.4">
      <c r="A62" t="str">
        <v>Electronics</v>
      </c>
    </row>
    <row r="63" spans="1:9" x14ac:dyDescent="0.4">
      <c r="A63">
        <v>2</v>
      </c>
    </row>
    <row r="64" spans="1:9" x14ac:dyDescent="0.4">
      <c r="A64">
        <v>100</v>
      </c>
    </row>
    <row r="65" spans="1:1" x14ac:dyDescent="0.4">
      <c r="A65">
        <v>1010</v>
      </c>
    </row>
    <row r="66" spans="1:1" x14ac:dyDescent="0.4">
      <c r="A66" t="str">
        <v>Bookshelf</v>
      </c>
    </row>
    <row r="67" spans="1:1" x14ac:dyDescent="0.4">
      <c r="A67" t="str">
        <v>Office Furniture</v>
      </c>
    </row>
    <row r="68" spans="1:1" x14ac:dyDescent="0.4">
      <c r="A68">
        <v>1</v>
      </c>
    </row>
    <row r="69" spans="1:1" x14ac:dyDescent="0.4">
      <c r="A69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Sheet6</vt:lpstr>
      <vt:lpstr>Sheet4</vt:lpstr>
      <vt:lpstr>Sheet5</vt:lpstr>
      <vt:lpstr>Sheet7</vt:lpstr>
      <vt:lpstr>Vlookup</vt:lpstr>
      <vt:lpstr>Sheet8</vt:lpstr>
      <vt:lpstr>Hlookup</vt:lpstr>
      <vt:lpstr>Sheet10</vt:lpstr>
      <vt:lpstr>Sheet11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Aamit makode</dc:creator>
  <cp:lastModifiedBy>Aamit makode</cp:lastModifiedBy>
  <dcterms:created xsi:type="dcterms:W3CDTF">2026-03-02T06:10:14Z</dcterms:created>
  <dcterms:modified xsi:type="dcterms:W3CDTF">2026-03-02T07:18:29Z</dcterms:modified>
</cp:coreProperties>
</file>